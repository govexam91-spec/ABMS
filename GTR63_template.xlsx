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D:\ABMS\"/>
    </mc:Choice>
  </mc:AlternateContent>
  <xr:revisionPtr revIDLastSave="0" documentId="13_ncr:1_{F0D7B6F9-27D7-49CE-8B9E-BEA2E24D1B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TR" sheetId="5" r:id="rId1"/>
    <sheet name="INNER" sheetId="16" r:id="rId2"/>
    <sheet name="000" sheetId="4" state="veryHidden" r:id="rId3"/>
  </sheets>
  <definedNames>
    <definedName name="_xlnm.Print_Area" localSheetId="0">GTR!$A$1:$AN$125</definedName>
    <definedName name="_xlnm.Print_Area" localSheetId="1">INNER!$A$1:$H$7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9" i="5" l="1"/>
  <c r="O11" i="16" l="1"/>
  <c r="P20" i="16" s="1"/>
  <c r="K11" i="16"/>
  <c r="P13" i="16" l="1"/>
  <c r="P14" i="16"/>
  <c r="P15" i="16"/>
  <c r="P19" i="16"/>
  <c r="P18" i="16"/>
  <c r="P17" i="16"/>
  <c r="P16" i="16"/>
  <c r="K13" i="16"/>
  <c r="O13" i="16"/>
  <c r="O14" i="16" l="1"/>
  <c r="O15" i="16" s="1"/>
  <c r="O16" i="16" s="1"/>
  <c r="O17" i="16" s="1"/>
  <c r="L13" i="16"/>
  <c r="K14" i="16"/>
  <c r="L14" i="16" s="1"/>
  <c r="K15" i="16" l="1"/>
  <c r="L15" i="16" s="1"/>
  <c r="O18" i="16"/>
  <c r="O19" i="16" s="1"/>
  <c r="K16" i="16" l="1"/>
  <c r="L16" i="16" s="1"/>
  <c r="O20" i="16"/>
  <c r="O12" i="16" s="1"/>
  <c r="K17" i="16" l="1"/>
  <c r="L17" i="16" s="1"/>
  <c r="K18" i="16" l="1"/>
  <c r="L18" i="16" s="1"/>
  <c r="K19" i="16" l="1"/>
  <c r="L19" i="16" l="1"/>
  <c r="K20" i="16"/>
  <c r="K12" i="16" s="1"/>
  <c r="L20" i="16" l="1"/>
</calcChain>
</file>

<file path=xl/sharedStrings.xml><?xml version="1.0" encoding="utf-8"?>
<sst xmlns="http://schemas.openxmlformats.org/spreadsheetml/2006/main" count="300" uniqueCount="192">
  <si>
    <t>COMPUTER INPUT DATA</t>
  </si>
  <si>
    <t>1.</t>
  </si>
  <si>
    <t>District</t>
  </si>
  <si>
    <t>4.</t>
  </si>
  <si>
    <t>Class of Exprnditure</t>
  </si>
  <si>
    <t>5.</t>
  </si>
  <si>
    <t>Fund</t>
  </si>
  <si>
    <t>6.</t>
  </si>
  <si>
    <t>Drawing Officer</t>
  </si>
  <si>
    <t>7.</t>
  </si>
  <si>
    <t>Demand No.</t>
  </si>
  <si>
    <t>8.</t>
  </si>
  <si>
    <t>Type of Budget</t>
  </si>
  <si>
    <t>9.</t>
  </si>
  <si>
    <t>10</t>
  </si>
  <si>
    <t>Expenditure including this Bill</t>
  </si>
  <si>
    <t>Bill Register No.</t>
  </si>
  <si>
    <t>Object of Expenditure</t>
  </si>
  <si>
    <t>2.</t>
  </si>
  <si>
    <t>3.</t>
  </si>
  <si>
    <t>+</t>
  </si>
  <si>
    <t>Accountant</t>
  </si>
  <si>
    <t>( To be filled in by Treasury)</t>
  </si>
  <si>
    <t>Month &amp; Year</t>
  </si>
  <si>
    <t>Voucher No.</t>
  </si>
  <si>
    <t>Code No.</t>
  </si>
  <si>
    <t>Budget
Code</t>
  </si>
  <si>
    <t>Head Chargeble</t>
  </si>
  <si>
    <t>Scheme of Budget</t>
  </si>
  <si>
    <t>For use in Treasury</t>
  </si>
  <si>
    <t>Pay Rs.</t>
  </si>
  <si>
    <t>For use in A.G's. Office</t>
  </si>
  <si>
    <t>Tokan No.                           Date.</t>
  </si>
  <si>
    <t>3400</t>
  </si>
  <si>
    <t>Received a sum of Rs.</t>
  </si>
  <si>
    <t>Countersign Rs.</t>
  </si>
  <si>
    <t>Bill of Scholarship/ Staipend tanable at   :</t>
  </si>
  <si>
    <t>(See Rule 260(I))</t>
  </si>
  <si>
    <t>Demand No.         : 2230, LABOUR &amp; EMPLOYMENT</t>
  </si>
  <si>
    <t>Major Head.         : 03, TRAINING</t>
  </si>
  <si>
    <t>Sector.                 : 57, CTS-PLAN</t>
  </si>
  <si>
    <t>Sub Head :</t>
  </si>
  <si>
    <t>Stipend / Scholarship</t>
  </si>
  <si>
    <t>…………………………….</t>
  </si>
  <si>
    <t>Balance available …………………</t>
  </si>
  <si>
    <t>Date :-</t>
  </si>
  <si>
    <t xml:space="preserve">Dated </t>
  </si>
  <si>
    <t xml:space="preserve">Treasury Officer </t>
  </si>
  <si>
    <t>Admitted for Rs. ………………………….</t>
  </si>
  <si>
    <t>Objected for Rs. …………………………………</t>
  </si>
  <si>
    <t xml:space="preserve">Reason for Objection :- </t>
  </si>
  <si>
    <t>SECTION OFFICER</t>
  </si>
  <si>
    <t>AUDITOR</t>
  </si>
  <si>
    <t>GAZATED  OFFICER</t>
  </si>
  <si>
    <t>Dated  :</t>
  </si>
  <si>
    <t>Date Of Bill</t>
  </si>
  <si>
    <r>
      <t xml:space="preserve">Name of the Treasury:  </t>
    </r>
    <r>
      <rPr>
        <b/>
        <sz val="12"/>
        <rFont val="Arial"/>
        <family val="2"/>
      </rPr>
      <t>SURENDRANAGAR</t>
    </r>
  </si>
  <si>
    <t xml:space="preserve">During the month of :  </t>
  </si>
  <si>
    <t>(For Department Use)</t>
  </si>
  <si>
    <t>Remarks</t>
  </si>
  <si>
    <t>C4</t>
  </si>
  <si>
    <t xml:space="preserve">                                                 FORM G. T. R.  63                                    </t>
  </si>
  <si>
    <t>Sr. No.</t>
  </si>
  <si>
    <t>Year of Award</t>
  </si>
  <si>
    <t>Kind of Scholarship / Stipend</t>
  </si>
  <si>
    <t>Name of Scholarship/ Stipend Holder</t>
  </si>
  <si>
    <t>Monthly Value of Stipend</t>
  </si>
  <si>
    <t>No. of Days for Which Drawn</t>
  </si>
  <si>
    <t>Amount Drawn</t>
  </si>
  <si>
    <t>(Rupees …………………………………………………………….</t>
  </si>
  <si>
    <t>under letter no…………………………. Dated ………………………..</t>
  </si>
  <si>
    <t>being the amount sanctioned by the …………………………………</t>
  </si>
  <si>
    <t>…………………………….……for disbursement to the student</t>
  </si>
  <si>
    <t>as shown on reverse.</t>
  </si>
  <si>
    <t>Amount                   Rs.</t>
  </si>
  <si>
    <t>.</t>
  </si>
  <si>
    <t>Industrial Training Institute, Surendranagar(MATS)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</si>
  <si>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</si>
  <si>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</si>
  <si>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</si>
  <si>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</si>
  <si>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</si>
  <si>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</si>
  <si>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</si>
  <si>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</si>
  <si>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</si>
  <si>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</si>
  <si>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Seventy Six Kharva,</t>
  </si>
  <si>
    <t>Eleven</t>
  </si>
  <si>
    <t>Twelve</t>
  </si>
  <si>
    <t>Ninety Eight Nikharva,</t>
  </si>
  <si>
    <t>Thirteen</t>
  </si>
  <si>
    <t>Fourteen</t>
  </si>
  <si>
    <t>Fifteen</t>
  </si>
  <si>
    <t>Sixteen</t>
  </si>
  <si>
    <t>Seventeen</t>
  </si>
  <si>
    <t>Eighteen</t>
  </si>
  <si>
    <t>Nineteen</t>
  </si>
  <si>
    <t xml:space="preserve">Twenty 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</si>
  <si>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</si>
  <si>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</si>
  <si>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</si>
  <si>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</si>
  <si>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</si>
  <si>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</si>
  <si>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</si>
  <si>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</si>
  <si>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</si>
  <si>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</si>
  <si>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</si>
  <si>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</si>
  <si>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</si>
  <si>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</si>
  <si>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</si>
  <si>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</si>
  <si>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</si>
  <si>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</si>
  <si>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</si>
  <si>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Fourty</t>
  </si>
  <si>
    <t>Fourty One</t>
  </si>
  <si>
    <t>Fourty Two</t>
  </si>
  <si>
    <t>Fourty Three</t>
  </si>
  <si>
    <t>Fourty Four</t>
  </si>
  <si>
    <t>Fourty Five</t>
  </si>
  <si>
    <t>Fourty Six</t>
  </si>
  <si>
    <t>Fourty Seven</t>
  </si>
  <si>
    <t>Fourty Eight</t>
  </si>
  <si>
    <t>Fourty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</si>
  <si>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</si>
  <si>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</si>
  <si>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</si>
  <si>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</si>
  <si>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</si>
  <si>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</si>
  <si>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</si>
  <si>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</si>
  <si>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</si>
  <si>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</si>
  <si>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</si>
  <si>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</si>
  <si>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</si>
  <si>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</si>
  <si>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</si>
  <si>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</si>
  <si>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</si>
  <si>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</si>
  <si>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</si>
  <si>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</si>
  <si>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</si>
  <si>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</si>
  <si>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</si>
  <si>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</si>
  <si>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</si>
  <si>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</si>
  <si>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</si>
  <si>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</si>
  <si>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</si>
  <si>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</si>
  <si>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</si>
  <si>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</si>
  <si>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</si>
  <si>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</si>
  <si>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</si>
  <si>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</si>
  <si>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</si>
  <si>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</si>
  <si>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</si>
  <si>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</si>
  <si>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</si>
  <si>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</si>
  <si>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</si>
  <si>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</si>
  <si>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</si>
  <si>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</si>
  <si>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</si>
  <si>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</si>
  <si>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</si>
  <si>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</si>
  <si>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In words: Rupees…</t>
  </si>
  <si>
    <t>Sub Major Head    : 102, INDUSTRIAL TRAINING INSTITUTE</t>
  </si>
  <si>
    <t>Detailed - Head : 3400 : NIL</t>
  </si>
  <si>
    <t xml:space="preserve">Minor Head.   01, EMP-4 </t>
  </si>
  <si>
    <t>STIPEND BILL OF THE MATS</t>
  </si>
  <si>
    <t>Budget Allotment for   2025-26</t>
  </si>
  <si>
    <t>Two Lac,Eighty Three Thousand,Five Hundred Twenty Nine</t>
  </si>
  <si>
    <t>Two Lac,Eighty Three Thousand,Five Hundred Twenty Nine Only</t>
  </si>
  <si>
    <t>2026-27</t>
  </si>
  <si>
    <t>BILL OF SCHOLARSHIP TENABLE AT Industrial Training Institute, Surendranagar DURING THE MONTH OF JAN-2026 TO MAR-2026</t>
  </si>
  <si>
    <t>C. U. Shah Medical College</t>
  </si>
  <si>
    <t>JAN-MAR-26</t>
  </si>
  <si>
    <t>Trylo Intimates</t>
  </si>
  <si>
    <t>Omax Cotspin Pvt.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</si>
</sst>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/yy;@"/>
  </numFmts>
  <fonts count="24" x14ac:knownFonts="1">
    <font>
      <sz val="10"/>
      <name val="Arial"/>
    </font>
    <font>
      <sz val="10"/>
      <name val="Times New Roman"/>
      <family val="1"/>
    </font>
    <font>
      <b/>
      <u/>
      <sz val="1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2"/>
      <name val="TERAFONT-TRILOCHAN"/>
      <family val="2"/>
    </font>
    <font>
      <sz val="13"/>
      <name val="TERAFONT-TRILOCHAN"/>
      <family val="2"/>
    </font>
    <font>
      <sz val="14"/>
      <name val="Times New Roman"/>
      <family val="1"/>
    </font>
    <font>
      <i/>
      <u/>
      <sz val="10"/>
      <name val="Arial"/>
      <family val="2"/>
    </font>
    <font>
      <b/>
      <u/>
      <sz val="14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6"/>
      <name val="Arial"/>
      <family val="2"/>
    </font>
    <font>
      <sz val="10"/>
      <name val="TERAFONT-VARUN"/>
      <family val="2"/>
    </font>
    <font>
      <i/>
      <sz val="9"/>
      <name val="Times New Roman"/>
      <family val="1"/>
    </font>
    <font>
      <sz val="9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charset val="204"/>
    </font>
    <font>
      <sz val="9"/>
      <color rgb="FF000000"/>
      <name val="Arial"/>
      <family val="2"/>
    </font>
    <font>
      <sz val="18"/>
      <name val="Arial"/>
      <family val="2"/>
    </font>
    <font>
      <sz val="11"/>
      <color rgb="FF393939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/>
  </cellStyleXfs>
  <cellXfs count="107">
    <xf numFmtId="0" fontId="0" fillId="0" borderId="0" xfId="0"/>
    <xf numFmtId="0" fontId="20" fillId="0" borderId="0" xfId="1" applyAlignment="1">
      <alignment vertical="center" wrapText="1"/>
    </xf>
    <xf numFmtId="0" fontId="21" fillId="0" borderId="6" xfId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20" fillId="0" borderId="0" xfId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8" fillId="0" borderId="4" xfId="0" applyFont="1" applyBorder="1" applyAlignment="1">
      <alignment vertical="center" wrapText="1"/>
    </xf>
    <xf numFmtId="0" fontId="10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1" fillId="0" borderId="0" xfId="0" quotePrefix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2" xfId="0" applyBorder="1" applyAlignment="1">
      <alignment vertical="center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5" xfId="0" applyBorder="1" applyAlignment="1">
      <alignment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22" fillId="0" borderId="15" xfId="0" applyFont="1" applyBorder="1" applyAlignment="1" applyProtection="1">
      <alignment vertical="center"/>
      <protection locked="0"/>
    </xf>
    <xf numFmtId="0" fontId="22" fillId="0" borderId="16" xfId="0" applyFont="1" applyBorder="1" applyAlignment="1" applyProtection="1">
      <alignment vertical="center"/>
      <protection locked="0"/>
    </xf>
    <xf numFmtId="0" fontId="22" fillId="0" borderId="17" xfId="0" applyFont="1" applyBorder="1" applyAlignment="1" applyProtection="1">
      <alignment vertical="center"/>
      <protection locked="0"/>
    </xf>
    <xf numFmtId="0" fontId="22" fillId="0" borderId="18" xfId="0" applyFont="1" applyBorder="1" applyAlignment="1" applyProtection="1">
      <alignment vertical="center"/>
      <protection locked="0"/>
    </xf>
    <xf numFmtId="0" fontId="22" fillId="0" borderId="2" xfId="0" applyFont="1" applyBorder="1" applyAlignment="1" applyProtection="1">
      <alignment vertical="center"/>
      <protection locked="0"/>
    </xf>
    <xf numFmtId="0" fontId="22" fillId="0" borderId="19" xfId="0" applyFont="1" applyBorder="1" applyAlignment="1" applyProtection="1">
      <alignment vertical="center"/>
      <protection locked="0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20" fillId="0" borderId="0" xfId="1" applyAlignment="1">
      <alignment horizontal="left" vertical="center"/>
    </xf>
    <xf numFmtId="0" fontId="20" fillId="0" borderId="6" xfId="1" applyBorder="1" applyAlignment="1">
      <alignment horizontal="center" vertical="center"/>
    </xf>
    <xf numFmtId="0" fontId="20" fillId="0" borderId="6" xfId="1" applyBorder="1" applyAlignment="1">
      <alignment vertical="center"/>
    </xf>
    <xf numFmtId="0" fontId="2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0" xfId="0" quotePrefix="1" applyFont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quotePrefix="1" applyFont="1" applyAlignment="1" applyProtection="1">
      <alignment horizontal="left" vertical="center"/>
      <protection locked="0"/>
    </xf>
    <xf numFmtId="0" fontId="1" fillId="0" borderId="11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164" fontId="14" fillId="0" borderId="0" xfId="0" applyNumberFormat="1" applyFont="1" applyAlignment="1">
      <alignment horizontal="left" vertical="center"/>
    </xf>
    <xf numFmtId="14" fontId="1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1" xfId="0" applyFont="1" applyBorder="1" applyAlignment="1">
      <alignment horizontal="center" vertical="center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6" xfId="0" quotePrefix="1" applyFont="1" applyBorder="1" applyAlignment="1" applyProtection="1">
      <alignment horizontal="center" vertical="center"/>
      <protection locked="0"/>
    </xf>
    <xf numFmtId="2" fontId="7" fillId="0" borderId="6" xfId="0" applyNumberFormat="1" applyFont="1" applyBorder="1" applyAlignment="1" applyProtection="1">
      <alignment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6" xfId="0" quotePrefix="1" applyNumberFormat="1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8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102</xdr:row>
      <xdr:rowOff>0</xdr:rowOff>
    </xdr:from>
    <xdr:to>
      <xdr:col>9</xdr:col>
      <xdr:colOff>104775</xdr:colOff>
      <xdr:row>102</xdr:row>
      <xdr:rowOff>0</xdr:rowOff>
    </xdr:to>
    <xdr:sp macro="" textlink="">
      <xdr:nvSpPr>
        <xdr:cNvPr id="1339" name="Line 108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ShapeType="1"/>
        </xdr:cNvSpPr>
      </xdr:nvSpPr>
      <xdr:spPr bwMode="auto">
        <a:xfrm>
          <a:off x="1733550" y="98583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90"/>
  <sheetViews>
    <sheetView view="pageBreakPreview" zoomScaleSheetLayoutView="100" workbookViewId="0">
      <selection activeCell="AB67" sqref="AB67"/>
    </sheetView>
  </sheetViews>
  <sheetFormatPr defaultColWidth="2.6640625" defaultRowHeight="13.2" x14ac:dyDescent="0.25"/>
  <cols>
    <col min="1" max="19" width="2.6640625" style="12" customWidth="1"/>
    <col min="20" max="21" width="2.5546875" style="12" customWidth="1"/>
    <col min="22" max="23" width="2.6640625" style="12" customWidth="1"/>
    <col min="24" max="24" width="2.5546875" style="12" customWidth="1"/>
    <col min="25" max="29" width="2.6640625" style="12" customWidth="1"/>
    <col min="30" max="30" width="3.88671875" style="12" customWidth="1"/>
    <col min="31" max="38" width="2.6640625" style="12" customWidth="1"/>
    <col min="39" max="39" width="2.109375" style="12" customWidth="1"/>
    <col min="40" max="40" width="6.109375" style="12" customWidth="1"/>
    <col min="41" max="16384" width="2.6640625" style="12"/>
  </cols>
  <sheetData>
    <row r="1" spans="1:43" ht="9.75" customHeight="1" x14ac:dyDescent="0.25">
      <c r="AG1" s="32"/>
      <c r="AH1" s="33"/>
      <c r="AI1" s="33"/>
      <c r="AJ1" s="33"/>
      <c r="AK1" s="33"/>
      <c r="AL1" s="33"/>
      <c r="AM1" s="33"/>
      <c r="AN1" s="34"/>
    </row>
    <row r="2" spans="1:43" ht="8.25" customHeight="1" thickBot="1" x14ac:dyDescent="0.3">
      <c r="AG2" s="35"/>
      <c r="AH2" s="36"/>
      <c r="AI2" s="36"/>
      <c r="AJ2" s="36"/>
      <c r="AK2" s="36"/>
      <c r="AL2" s="36"/>
      <c r="AM2" s="36"/>
      <c r="AN2" s="37"/>
    </row>
    <row r="3" spans="1:43" ht="12" customHeight="1" x14ac:dyDescent="0.25">
      <c r="A3" s="50" t="s">
        <v>61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</row>
    <row r="4" spans="1:43" ht="12" customHeigh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13"/>
      <c r="AP4" s="13"/>
      <c r="AQ4" s="13"/>
    </row>
    <row r="5" spans="1:43" ht="8.1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51" t="s">
        <v>37</v>
      </c>
      <c r="R5" s="51"/>
      <c r="S5" s="51"/>
      <c r="T5" s="51"/>
      <c r="U5" s="51"/>
      <c r="V5" s="51"/>
      <c r="W5" s="51"/>
      <c r="X5" s="51"/>
      <c r="Y5" s="51"/>
      <c r="AE5" s="52" t="s">
        <v>16</v>
      </c>
      <c r="AF5" s="52"/>
      <c r="AG5" s="52"/>
      <c r="AH5" s="52"/>
      <c r="AI5" s="52"/>
      <c r="AJ5" s="53"/>
      <c r="AK5" s="53"/>
      <c r="AL5" s="53"/>
      <c r="AM5" s="53"/>
      <c r="AN5" s="53"/>
      <c r="AO5" s="13"/>
      <c r="AP5" s="13"/>
      <c r="AQ5" s="13"/>
    </row>
    <row r="6" spans="1:43" ht="8.1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51"/>
      <c r="R6" s="51"/>
      <c r="S6" s="51"/>
      <c r="T6" s="51"/>
      <c r="U6" s="51"/>
      <c r="V6" s="51"/>
      <c r="W6" s="51"/>
      <c r="X6" s="51"/>
      <c r="Y6" s="51"/>
      <c r="AE6" s="52"/>
      <c r="AF6" s="52"/>
      <c r="AG6" s="52"/>
      <c r="AH6" s="52"/>
      <c r="AI6" s="52"/>
      <c r="AJ6" s="53"/>
      <c r="AK6" s="53"/>
      <c r="AL6" s="53"/>
      <c r="AM6" s="53"/>
      <c r="AN6" s="53"/>
      <c r="AO6" s="13"/>
      <c r="AP6" s="13"/>
      <c r="AQ6" s="13"/>
    </row>
    <row r="7" spans="1:43" ht="8.1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8"/>
      <c r="R7" s="8"/>
      <c r="S7" s="8"/>
      <c r="T7" s="8"/>
      <c r="U7" s="8"/>
      <c r="V7" s="8"/>
      <c r="W7" s="8"/>
      <c r="X7" s="8"/>
      <c r="Y7" s="8"/>
      <c r="AE7" s="52" t="s">
        <v>55</v>
      </c>
      <c r="AF7" s="52"/>
      <c r="AG7" s="52"/>
      <c r="AH7" s="52"/>
      <c r="AI7" s="52"/>
      <c r="AJ7" s="73"/>
      <c r="AK7" s="53"/>
      <c r="AL7" s="53"/>
      <c r="AM7" s="53"/>
      <c r="AN7" s="53"/>
      <c r="AO7" s="13"/>
      <c r="AP7" s="13"/>
      <c r="AQ7" s="13"/>
    </row>
    <row r="8" spans="1:43" ht="8.1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0"/>
      <c r="AA8" s="10"/>
      <c r="AB8" s="10"/>
      <c r="AC8" s="10"/>
      <c r="AD8" s="10"/>
      <c r="AE8" s="52"/>
      <c r="AF8" s="52"/>
      <c r="AG8" s="52"/>
      <c r="AH8" s="52"/>
      <c r="AI8" s="52"/>
      <c r="AJ8" s="53"/>
      <c r="AK8" s="53"/>
      <c r="AL8" s="53"/>
      <c r="AM8" s="53"/>
      <c r="AN8" s="53"/>
      <c r="AO8" s="13"/>
      <c r="AP8" s="13"/>
      <c r="AQ8" s="13"/>
    </row>
    <row r="9" spans="1:43" ht="8.1" customHeight="1" x14ac:dyDescent="0.25">
      <c r="A9" s="56" t="s">
        <v>36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101" t="s">
        <v>76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5"/>
      <c r="AJ9" s="5"/>
      <c r="AK9" s="5"/>
      <c r="AL9" s="5"/>
      <c r="AM9" s="5"/>
      <c r="AN9" s="5"/>
      <c r="AO9" s="13"/>
      <c r="AP9" s="13"/>
      <c r="AQ9" s="13"/>
    </row>
    <row r="10" spans="1:43" ht="8.1" customHeight="1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"/>
      <c r="AJ10" s="10"/>
      <c r="AK10" s="10"/>
      <c r="AL10" s="10"/>
      <c r="AM10" s="10"/>
      <c r="AN10" s="10"/>
      <c r="AO10" s="13"/>
      <c r="AP10" s="13"/>
      <c r="AQ10" s="13"/>
    </row>
    <row r="11" spans="1:43" ht="8.1" customHeight="1" x14ac:dyDescent="0.25">
      <c r="A11" s="5"/>
      <c r="B11" s="47" t="s">
        <v>57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72">
        <v>46082</v>
      </c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5"/>
      <c r="AH11" s="5"/>
      <c r="AI11" s="5"/>
      <c r="AJ11" s="5"/>
      <c r="AK11" s="5"/>
      <c r="AL11" s="5"/>
      <c r="AM11" s="5"/>
      <c r="AN11" s="5"/>
      <c r="AO11" s="13"/>
      <c r="AP11" s="13"/>
      <c r="AQ11" s="13"/>
    </row>
    <row r="12" spans="1:43" ht="8.1" customHeight="1" x14ac:dyDescent="0.25">
      <c r="A12" s="5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10"/>
      <c r="AH12" s="10"/>
      <c r="AI12" s="10"/>
      <c r="AJ12" s="10"/>
      <c r="AK12" s="10"/>
      <c r="AL12" s="10"/>
      <c r="AM12" s="10"/>
      <c r="AN12" s="10"/>
      <c r="AO12" s="13"/>
      <c r="AP12" s="13"/>
      <c r="AQ12" s="13"/>
    </row>
    <row r="13" spans="1:43" ht="8.1" customHeight="1" thickBot="1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3"/>
      <c r="AP13" s="13"/>
      <c r="AQ13" s="13"/>
    </row>
    <row r="14" spans="1:43" ht="8.1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13"/>
      <c r="AP14" s="13"/>
      <c r="AQ14" s="13"/>
    </row>
    <row r="15" spans="1:43" ht="8.1" customHeight="1" x14ac:dyDescent="0.25">
      <c r="A15" s="62" t="s">
        <v>56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5"/>
      <c r="V15" s="5"/>
      <c r="W15" s="5"/>
      <c r="X15" s="5"/>
      <c r="Y15" s="5"/>
      <c r="Z15" s="68" t="s">
        <v>32</v>
      </c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13"/>
      <c r="AP15" s="13"/>
      <c r="AQ15" s="13"/>
    </row>
    <row r="16" spans="1:43" ht="8.1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5"/>
      <c r="V16" s="5"/>
      <c r="W16" s="5"/>
      <c r="X16" s="5"/>
      <c r="Y16" s="5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13"/>
      <c r="AP16" s="13"/>
      <c r="AQ16" s="13"/>
    </row>
    <row r="17" spans="1:58" ht="8.1" customHeight="1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13"/>
      <c r="AP17" s="13"/>
      <c r="AQ17" s="13"/>
    </row>
    <row r="18" spans="1:58" ht="8.1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8" t="s">
        <v>32</v>
      </c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13"/>
      <c r="AP18" s="13"/>
      <c r="AQ18" s="13"/>
    </row>
    <row r="19" spans="1:58" ht="8.1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13"/>
      <c r="AP19" s="13"/>
      <c r="AQ19" s="13"/>
    </row>
    <row r="20" spans="1:58" ht="8.1" customHeight="1" thickBo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3"/>
      <c r="AP20" s="13"/>
      <c r="AQ20" s="13"/>
      <c r="AR20" s="13"/>
    </row>
    <row r="21" spans="1:58" ht="8.1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04" t="s">
        <v>0</v>
      </c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5"/>
      <c r="AD21" s="15"/>
      <c r="AE21" s="15"/>
      <c r="AF21" s="16"/>
      <c r="AG21" s="71"/>
      <c r="AH21" s="71"/>
      <c r="AI21" s="71"/>
      <c r="AJ21" s="71"/>
      <c r="AK21" s="71"/>
      <c r="AL21" s="71"/>
      <c r="AM21" s="71"/>
      <c r="AN21" s="71"/>
      <c r="AO21" s="13"/>
      <c r="AP21" s="13"/>
      <c r="AQ21" s="13"/>
      <c r="AR21" s="13"/>
    </row>
    <row r="22" spans="1:58" ht="8.1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6"/>
      <c r="AD22" s="16"/>
      <c r="AE22" s="16"/>
      <c r="AF22" s="16"/>
      <c r="AG22" s="71"/>
      <c r="AH22" s="71"/>
      <c r="AI22" s="71"/>
      <c r="AJ22" s="71"/>
      <c r="AK22" s="71"/>
      <c r="AL22" s="71"/>
      <c r="AM22" s="71"/>
      <c r="AN22" s="71"/>
      <c r="AO22" s="13"/>
      <c r="AP22" s="13"/>
      <c r="AQ22" s="13"/>
      <c r="AR22" s="13"/>
    </row>
    <row r="23" spans="1:58" ht="8.1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17"/>
      <c r="Q23" s="106" t="s">
        <v>22</v>
      </c>
      <c r="R23" s="106"/>
      <c r="S23" s="106"/>
      <c r="T23" s="106"/>
      <c r="U23" s="106"/>
      <c r="V23" s="106"/>
      <c r="W23" s="106"/>
      <c r="X23" s="106"/>
      <c r="Y23" s="17"/>
      <c r="Z23" s="17"/>
      <c r="AA23" s="17"/>
      <c r="AB23" s="17"/>
      <c r="AC23" s="16"/>
      <c r="AD23" s="16"/>
      <c r="AE23" s="16"/>
      <c r="AF23" s="16"/>
      <c r="AG23" s="18"/>
      <c r="AH23" s="18"/>
      <c r="AI23" s="18"/>
      <c r="AJ23" s="18"/>
      <c r="AK23" s="18"/>
      <c r="AL23" s="18"/>
      <c r="AM23" s="18"/>
      <c r="AN23" s="18"/>
      <c r="AO23" s="13"/>
      <c r="AP23" s="13"/>
      <c r="AQ23" s="13"/>
    </row>
    <row r="24" spans="1:58" ht="8.1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17"/>
      <c r="Q24" s="106"/>
      <c r="R24" s="106"/>
      <c r="S24" s="106"/>
      <c r="T24" s="106"/>
      <c r="U24" s="106"/>
      <c r="V24" s="106"/>
      <c r="W24" s="106"/>
      <c r="X24" s="106"/>
      <c r="Y24" s="17"/>
      <c r="AH24" s="18"/>
      <c r="AI24" s="18"/>
      <c r="AJ24" s="18"/>
      <c r="AK24" s="18"/>
      <c r="AL24" s="18"/>
      <c r="AM24" s="18"/>
      <c r="AN24" s="18"/>
      <c r="AO24" s="13"/>
      <c r="AP24" s="13"/>
      <c r="AQ24" s="13"/>
    </row>
    <row r="25" spans="1:58" ht="8.1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AH25" s="18"/>
      <c r="AI25" s="18"/>
      <c r="AJ25" s="18"/>
      <c r="AK25" s="18"/>
      <c r="AL25" s="18"/>
      <c r="AM25" s="18"/>
      <c r="AN25" s="18"/>
      <c r="AO25" s="13"/>
      <c r="AP25" s="13"/>
      <c r="AQ25" s="13"/>
    </row>
    <row r="26" spans="1:58" ht="8.1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"/>
      <c r="W26" s="9"/>
      <c r="X26" s="13"/>
      <c r="Y26" s="9"/>
      <c r="Z26" s="9"/>
      <c r="AA26" s="9"/>
      <c r="AB26" s="9"/>
      <c r="AC26" s="9"/>
      <c r="AD26" s="9"/>
      <c r="AE26" s="9"/>
      <c r="AF26" s="9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</row>
    <row r="27" spans="1:58" ht="8.1" customHeight="1" x14ac:dyDescent="0.25">
      <c r="A27" s="65" t="s">
        <v>1</v>
      </c>
      <c r="B27" s="52" t="s">
        <v>2</v>
      </c>
      <c r="C27" s="52"/>
      <c r="D27" s="52"/>
      <c r="E27" s="13"/>
      <c r="F27" s="13"/>
      <c r="G27" s="60">
        <v>6</v>
      </c>
      <c r="H27" s="60">
        <v>7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59"/>
      <c r="U27" s="11"/>
      <c r="V27" s="13"/>
      <c r="W27" s="13"/>
      <c r="X27" s="59" t="s">
        <v>18</v>
      </c>
      <c r="Y27" s="52" t="s">
        <v>23</v>
      </c>
      <c r="Z27" s="52"/>
      <c r="AA27" s="52"/>
      <c r="AB27" s="52"/>
      <c r="AC27" s="52"/>
      <c r="AD27" s="9"/>
      <c r="AE27" s="9"/>
      <c r="AF27" s="9"/>
      <c r="AG27" s="54"/>
      <c r="AH27" s="54"/>
      <c r="AI27" s="54"/>
      <c r="AJ27" s="54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Y27" s="13"/>
      <c r="AZ27" s="13"/>
      <c r="BA27" s="13"/>
      <c r="BB27" s="13"/>
      <c r="BC27" s="13"/>
      <c r="BD27" s="13"/>
      <c r="BE27" s="13"/>
      <c r="BF27" s="13"/>
    </row>
    <row r="28" spans="1:58" ht="8.1" customHeight="1" x14ac:dyDescent="0.25">
      <c r="A28" s="65"/>
      <c r="B28" s="52"/>
      <c r="C28" s="52"/>
      <c r="D28" s="52"/>
      <c r="E28" s="13"/>
      <c r="F28" s="13"/>
      <c r="G28" s="61"/>
      <c r="H28" s="61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59"/>
      <c r="U28" s="11"/>
      <c r="V28" s="13"/>
      <c r="W28" s="13"/>
      <c r="X28" s="59"/>
      <c r="Y28" s="52"/>
      <c r="Z28" s="52"/>
      <c r="AA28" s="52"/>
      <c r="AB28" s="52"/>
      <c r="AC28" s="52"/>
      <c r="AD28" s="9"/>
      <c r="AE28" s="9"/>
      <c r="AF28" s="9"/>
      <c r="AG28" s="55"/>
      <c r="AH28" s="55"/>
      <c r="AI28" s="55"/>
      <c r="AJ28" s="55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Y28" s="13"/>
      <c r="AZ28" s="13"/>
      <c r="BA28" s="13"/>
      <c r="BB28" s="13"/>
      <c r="BC28" s="13"/>
      <c r="BD28" s="13"/>
      <c r="BE28" s="13"/>
      <c r="BF28" s="13"/>
    </row>
    <row r="29" spans="1:58" ht="8.1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9"/>
      <c r="W29" s="9"/>
      <c r="X29" s="13"/>
      <c r="Y29" s="9"/>
      <c r="Z29" s="9"/>
      <c r="AA29" s="9"/>
      <c r="AB29" s="9"/>
      <c r="AC29" s="9"/>
      <c r="AD29" s="9"/>
      <c r="AE29" s="9"/>
      <c r="AF29" s="9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Y29" s="13"/>
      <c r="AZ29" s="13"/>
      <c r="BA29" s="13"/>
      <c r="BB29" s="13"/>
      <c r="BC29" s="13"/>
      <c r="BD29" s="13"/>
      <c r="BE29" s="13"/>
      <c r="BF29" s="13"/>
    </row>
    <row r="30" spans="1:58" ht="8.1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59"/>
      <c r="U30" s="11"/>
      <c r="V30" s="13"/>
      <c r="W30" s="13"/>
      <c r="X30" s="59" t="s">
        <v>19</v>
      </c>
      <c r="Y30" s="52" t="s">
        <v>24</v>
      </c>
      <c r="Z30" s="52"/>
      <c r="AA30" s="52"/>
      <c r="AB30" s="52"/>
      <c r="AC30" s="52"/>
      <c r="AD30" s="9"/>
      <c r="AE30" s="9"/>
      <c r="AF30" s="9"/>
      <c r="AG30" s="54"/>
      <c r="AH30" s="54"/>
      <c r="AI30" s="54"/>
      <c r="AJ30" s="54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Y30" s="13"/>
      <c r="AZ30" s="13"/>
      <c r="BA30" s="13"/>
      <c r="BB30" s="13"/>
      <c r="BC30" s="13"/>
      <c r="BD30" s="13"/>
      <c r="BE30" s="13"/>
      <c r="BF30" s="13"/>
    </row>
    <row r="31" spans="1:58" ht="8.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59"/>
      <c r="U31" s="11"/>
      <c r="V31" s="13"/>
      <c r="W31" s="13"/>
      <c r="X31" s="59"/>
      <c r="Y31" s="52"/>
      <c r="Z31" s="52"/>
      <c r="AA31" s="52"/>
      <c r="AB31" s="52"/>
      <c r="AC31" s="52"/>
      <c r="AD31" s="9"/>
      <c r="AE31" s="9"/>
      <c r="AF31" s="9"/>
      <c r="AG31" s="55"/>
      <c r="AH31" s="55"/>
      <c r="AI31" s="55"/>
      <c r="AJ31" s="55"/>
      <c r="AK31" s="13"/>
      <c r="AL31" s="13"/>
      <c r="AM31" s="13"/>
      <c r="AN31" s="13"/>
      <c r="AO31" s="13"/>
      <c r="AP31" s="13"/>
      <c r="AQ31" s="13"/>
    </row>
    <row r="32" spans="1:58" ht="8.1" customHeight="1" thickBo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3"/>
      <c r="AP32" s="13"/>
      <c r="AQ32" s="13"/>
    </row>
    <row r="33" spans="1:43" ht="8.1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9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13"/>
      <c r="AP33" s="13"/>
      <c r="AQ33" s="13"/>
    </row>
    <row r="34" spans="1:43" ht="8.1" customHeight="1" x14ac:dyDescent="0.25">
      <c r="A34" s="65" t="s">
        <v>3</v>
      </c>
      <c r="B34" s="52" t="s">
        <v>4</v>
      </c>
      <c r="C34" s="52"/>
      <c r="D34" s="52"/>
      <c r="E34" s="52"/>
      <c r="F34" s="52"/>
      <c r="G34" s="52"/>
      <c r="H34" s="52"/>
      <c r="I34" s="13"/>
      <c r="J34" s="13"/>
      <c r="K34" s="13"/>
      <c r="L34" s="13"/>
      <c r="M34" s="13"/>
      <c r="N34" s="13"/>
      <c r="O34" s="13"/>
      <c r="P34" s="13"/>
      <c r="Q34" s="13"/>
      <c r="R34" s="60">
        <v>1</v>
      </c>
      <c r="S34" s="5"/>
      <c r="T34" s="20"/>
      <c r="U34" s="67" t="s">
        <v>40</v>
      </c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13"/>
      <c r="AP34" s="13"/>
      <c r="AQ34" s="13"/>
    </row>
    <row r="35" spans="1:43" ht="8.1" customHeight="1" x14ac:dyDescent="0.25">
      <c r="A35" s="65"/>
      <c r="B35" s="52"/>
      <c r="C35" s="52"/>
      <c r="D35" s="52"/>
      <c r="E35" s="52"/>
      <c r="F35" s="52"/>
      <c r="G35" s="52"/>
      <c r="H35" s="52"/>
      <c r="I35" s="13"/>
      <c r="J35" s="13"/>
      <c r="K35" s="13"/>
      <c r="L35" s="13"/>
      <c r="M35" s="13"/>
      <c r="N35" s="13"/>
      <c r="O35" s="13"/>
      <c r="P35" s="13"/>
      <c r="Q35" s="13"/>
      <c r="R35" s="61"/>
      <c r="S35" s="5"/>
      <c r="T35" s="20"/>
      <c r="U35" s="69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13"/>
      <c r="AP35" s="13"/>
      <c r="AQ35" s="13"/>
    </row>
    <row r="36" spans="1:43" ht="8.1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5"/>
      <c r="T36" s="20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13"/>
      <c r="AP36" s="13"/>
      <c r="AQ36" s="13"/>
    </row>
    <row r="37" spans="1:43" ht="8.1" customHeight="1" x14ac:dyDescent="0.25">
      <c r="A37" s="65" t="s">
        <v>5</v>
      </c>
      <c r="B37" s="52" t="s">
        <v>6</v>
      </c>
      <c r="C37" s="5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60">
        <v>3</v>
      </c>
      <c r="S37" s="5"/>
      <c r="T37" s="20"/>
      <c r="U37" s="67" t="s">
        <v>38</v>
      </c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13"/>
      <c r="AP37" s="13"/>
      <c r="AQ37" s="13"/>
    </row>
    <row r="38" spans="1:43" ht="8.1" customHeight="1" x14ac:dyDescent="0.25">
      <c r="A38" s="65"/>
      <c r="B38" s="52"/>
      <c r="C38" s="5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61"/>
      <c r="S38" s="5"/>
      <c r="T38" s="20"/>
      <c r="U38" s="69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13"/>
      <c r="AP38" s="13"/>
      <c r="AQ38" s="13"/>
    </row>
    <row r="39" spans="1:43" ht="8.1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5"/>
      <c r="T39" s="20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13"/>
      <c r="AP39" s="13"/>
      <c r="AQ39" s="13"/>
    </row>
    <row r="40" spans="1:43" ht="8.1" customHeight="1" x14ac:dyDescent="0.25">
      <c r="A40" s="59" t="s">
        <v>7</v>
      </c>
      <c r="B40" s="52" t="s">
        <v>8</v>
      </c>
      <c r="C40" s="52"/>
      <c r="D40" s="52"/>
      <c r="E40" s="52"/>
      <c r="F40" s="52"/>
      <c r="G40" s="52"/>
      <c r="H40" s="13"/>
      <c r="I40" s="13"/>
      <c r="J40" s="13"/>
      <c r="K40" s="13"/>
      <c r="L40" s="13"/>
      <c r="M40" s="13"/>
      <c r="N40" s="13"/>
      <c r="O40" s="13"/>
      <c r="P40" s="60">
        <v>4</v>
      </c>
      <c r="Q40" s="60">
        <v>3</v>
      </c>
      <c r="R40" s="60">
        <v>5</v>
      </c>
      <c r="S40" s="5"/>
      <c r="T40" s="20"/>
      <c r="U40" s="67" t="s">
        <v>39</v>
      </c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13"/>
      <c r="AP40" s="13"/>
      <c r="AQ40" s="13"/>
    </row>
    <row r="41" spans="1:43" ht="8.1" customHeight="1" x14ac:dyDescent="0.25">
      <c r="A41" s="59"/>
      <c r="B41" s="52"/>
      <c r="C41" s="52"/>
      <c r="D41" s="52"/>
      <c r="E41" s="52"/>
      <c r="F41" s="52"/>
      <c r="G41" s="52"/>
      <c r="H41" s="13"/>
      <c r="I41" s="13"/>
      <c r="J41" s="13"/>
      <c r="K41" s="13"/>
      <c r="L41" s="13"/>
      <c r="M41" s="13"/>
      <c r="N41" s="13"/>
      <c r="O41" s="13"/>
      <c r="P41" s="61"/>
      <c r="Q41" s="61"/>
      <c r="R41" s="61"/>
      <c r="S41" s="5"/>
      <c r="T41" s="20"/>
      <c r="U41" s="69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13"/>
      <c r="AP41" s="13"/>
      <c r="AQ41" s="13"/>
    </row>
    <row r="42" spans="1:43" ht="8.1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5"/>
      <c r="T42" s="20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13"/>
      <c r="AP42" s="13"/>
      <c r="AQ42" s="13"/>
    </row>
    <row r="43" spans="1:43" ht="8.1" customHeight="1" x14ac:dyDescent="0.25">
      <c r="A43" s="65" t="s">
        <v>9</v>
      </c>
      <c r="B43" s="52" t="s">
        <v>10</v>
      </c>
      <c r="C43" s="52"/>
      <c r="D43" s="52"/>
      <c r="E43" s="5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60">
        <v>0</v>
      </c>
      <c r="Q43" s="60">
        <v>5</v>
      </c>
      <c r="R43" s="60">
        <v>7</v>
      </c>
      <c r="S43" s="5"/>
      <c r="T43" s="20"/>
      <c r="U43" s="67" t="s">
        <v>179</v>
      </c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13"/>
      <c r="AP43" s="13"/>
      <c r="AQ43" s="13"/>
    </row>
    <row r="44" spans="1:43" ht="8.1" customHeight="1" x14ac:dyDescent="0.25">
      <c r="A44" s="65"/>
      <c r="B44" s="52"/>
      <c r="C44" s="52"/>
      <c r="D44" s="52"/>
      <c r="E44" s="5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61"/>
      <c r="Q44" s="61"/>
      <c r="R44" s="61"/>
      <c r="S44" s="5"/>
      <c r="T44" s="20"/>
      <c r="U44" s="69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13"/>
      <c r="AP44" s="13"/>
      <c r="AQ44" s="13"/>
    </row>
    <row r="45" spans="1:43" ht="8.1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5"/>
      <c r="T45" s="20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13"/>
      <c r="AP45" s="13"/>
      <c r="AQ45" s="13"/>
    </row>
    <row r="46" spans="1:43" ht="8.1" customHeight="1" x14ac:dyDescent="0.25">
      <c r="A46" s="65" t="s">
        <v>11</v>
      </c>
      <c r="B46" s="52" t="s">
        <v>12</v>
      </c>
      <c r="C46" s="52"/>
      <c r="D46" s="52"/>
      <c r="E46" s="52"/>
      <c r="F46" s="52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60">
        <v>6</v>
      </c>
      <c r="S46" s="5"/>
      <c r="T46" s="20"/>
      <c r="U46" s="67" t="s">
        <v>181</v>
      </c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13"/>
      <c r="AP46" s="13"/>
      <c r="AQ46" s="13"/>
    </row>
    <row r="47" spans="1:43" ht="8.1" customHeight="1" x14ac:dyDescent="0.25">
      <c r="A47" s="65"/>
      <c r="B47" s="52"/>
      <c r="C47" s="52"/>
      <c r="D47" s="52"/>
      <c r="E47" s="52"/>
      <c r="F47" s="52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61"/>
      <c r="S47" s="5"/>
      <c r="T47" s="20"/>
      <c r="U47" s="69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13"/>
      <c r="AP47" s="13"/>
      <c r="AQ47" s="13"/>
    </row>
    <row r="48" spans="1:43" ht="13.8" x14ac:dyDescent="0.25">
      <c r="A48" s="9"/>
      <c r="B48" s="9"/>
      <c r="C48" s="9"/>
      <c r="D48" s="9"/>
      <c r="E48" s="9"/>
      <c r="F48" s="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5"/>
      <c r="T48" s="20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103"/>
      <c r="AI48" s="103"/>
      <c r="AJ48" s="103"/>
      <c r="AK48" s="103"/>
      <c r="AL48" s="103"/>
      <c r="AM48" s="103"/>
      <c r="AN48" s="103"/>
      <c r="AO48" s="13"/>
      <c r="AP48" s="13"/>
      <c r="AQ48" s="13"/>
    </row>
    <row r="49" spans="1:43" ht="8.1" customHeight="1" x14ac:dyDescent="0.25">
      <c r="A49" s="65" t="s">
        <v>13</v>
      </c>
      <c r="B49" s="52" t="s">
        <v>28</v>
      </c>
      <c r="C49" s="52"/>
      <c r="D49" s="52"/>
      <c r="E49" s="52"/>
      <c r="F49" s="52"/>
      <c r="G49" s="52"/>
      <c r="H49" s="13"/>
      <c r="I49" s="13"/>
      <c r="J49" s="13"/>
      <c r="K49" s="13"/>
      <c r="L49" s="60">
        <v>1</v>
      </c>
      <c r="M49" s="60">
        <v>1</v>
      </c>
      <c r="N49" s="60">
        <v>7</v>
      </c>
      <c r="O49" s="60">
        <v>8</v>
      </c>
      <c r="P49" s="60">
        <v>8</v>
      </c>
      <c r="Q49" s="60">
        <v>0</v>
      </c>
      <c r="R49" s="60" t="s">
        <v>60</v>
      </c>
      <c r="S49" s="5"/>
      <c r="T49" s="20"/>
      <c r="U49" s="67" t="s">
        <v>41</v>
      </c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13"/>
      <c r="AP49" s="13"/>
      <c r="AQ49" s="13"/>
    </row>
    <row r="50" spans="1:43" ht="8.1" customHeight="1" x14ac:dyDescent="0.25">
      <c r="A50" s="65"/>
      <c r="B50" s="52"/>
      <c r="C50" s="52"/>
      <c r="D50" s="52"/>
      <c r="E50" s="52"/>
      <c r="F50" s="52"/>
      <c r="G50" s="52"/>
      <c r="H50" s="13"/>
      <c r="I50" s="13"/>
      <c r="J50" s="13"/>
      <c r="K50" s="13"/>
      <c r="L50" s="61"/>
      <c r="M50" s="61"/>
      <c r="N50" s="61"/>
      <c r="O50" s="61"/>
      <c r="P50" s="61"/>
      <c r="Q50" s="61"/>
      <c r="R50" s="61"/>
      <c r="S50" s="5"/>
      <c r="T50" s="20"/>
      <c r="U50" s="69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13"/>
      <c r="AP50" s="13"/>
      <c r="AQ50" s="13"/>
    </row>
    <row r="51" spans="1:43" ht="8.1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20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13"/>
      <c r="AP51" s="13"/>
      <c r="AQ51" s="13"/>
    </row>
    <row r="52" spans="1:43" ht="8.1" customHeight="1" x14ac:dyDescent="0.25">
      <c r="A52" s="59" t="s">
        <v>14</v>
      </c>
      <c r="B52" s="71" t="s">
        <v>27</v>
      </c>
      <c r="C52" s="71"/>
      <c r="D52" s="71"/>
      <c r="E52" s="71"/>
      <c r="F52" s="71"/>
      <c r="G52" s="60">
        <v>2</v>
      </c>
      <c r="H52" s="60">
        <v>2</v>
      </c>
      <c r="I52" s="60">
        <v>3</v>
      </c>
      <c r="J52" s="60">
        <v>0</v>
      </c>
      <c r="K52" s="60">
        <v>0</v>
      </c>
      <c r="L52" s="60">
        <v>3</v>
      </c>
      <c r="M52" s="60">
        <v>1</v>
      </c>
      <c r="N52" s="60">
        <v>0</v>
      </c>
      <c r="O52" s="60">
        <v>2</v>
      </c>
      <c r="P52" s="60">
        <v>0</v>
      </c>
      <c r="Q52" s="60">
        <v>1</v>
      </c>
      <c r="R52" s="60">
        <v>0</v>
      </c>
      <c r="S52" s="60">
        <v>0</v>
      </c>
      <c r="T52" s="20"/>
      <c r="U52" s="67" t="s">
        <v>180</v>
      </c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13"/>
      <c r="AP52" s="13"/>
      <c r="AQ52" s="13"/>
    </row>
    <row r="53" spans="1:43" ht="8.1" customHeight="1" x14ac:dyDescent="0.25">
      <c r="A53" s="59"/>
      <c r="B53" s="71"/>
      <c r="C53" s="71"/>
      <c r="D53" s="71"/>
      <c r="E53" s="71"/>
      <c r="F53" s="7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20"/>
      <c r="U53" s="69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13"/>
      <c r="AP53" s="13"/>
      <c r="AQ53" s="13"/>
    </row>
    <row r="54" spans="1:43" ht="8.1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20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13"/>
      <c r="AP54" s="13"/>
      <c r="AQ54" s="13"/>
    </row>
    <row r="55" spans="1:43" ht="8.1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20"/>
      <c r="U55" s="102" t="s">
        <v>26</v>
      </c>
      <c r="V55" s="102"/>
      <c r="W55" s="102"/>
      <c r="X55" s="77" t="s">
        <v>17</v>
      </c>
      <c r="Y55" s="78"/>
      <c r="Z55" s="78"/>
      <c r="AA55" s="78"/>
      <c r="AB55" s="78"/>
      <c r="AC55" s="78"/>
      <c r="AD55" s="78"/>
      <c r="AE55" s="79"/>
      <c r="AF55" s="58" t="s">
        <v>25</v>
      </c>
      <c r="AG55" s="58"/>
      <c r="AH55" s="58"/>
      <c r="AI55" s="58"/>
      <c r="AJ55" s="58"/>
      <c r="AK55" s="102" t="s">
        <v>74</v>
      </c>
      <c r="AL55" s="102"/>
      <c r="AM55" s="102"/>
      <c r="AN55" s="102"/>
      <c r="AO55" s="13"/>
      <c r="AP55" s="13"/>
      <c r="AQ55" s="13"/>
    </row>
    <row r="56" spans="1:43" ht="8.1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20"/>
      <c r="U56" s="102"/>
      <c r="V56" s="102"/>
      <c r="W56" s="102"/>
      <c r="X56" s="80"/>
      <c r="Y56" s="71"/>
      <c r="Z56" s="71"/>
      <c r="AA56" s="71"/>
      <c r="AB56" s="71"/>
      <c r="AC56" s="71"/>
      <c r="AD56" s="71"/>
      <c r="AE56" s="81"/>
      <c r="AF56" s="58"/>
      <c r="AG56" s="58"/>
      <c r="AH56" s="58"/>
      <c r="AI56" s="58"/>
      <c r="AJ56" s="58"/>
      <c r="AK56" s="102"/>
      <c r="AL56" s="102"/>
      <c r="AM56" s="102"/>
      <c r="AN56" s="102"/>
      <c r="AO56" s="13"/>
      <c r="AP56" s="13"/>
      <c r="AQ56" s="13"/>
    </row>
    <row r="57" spans="1:43" ht="8.1" customHeight="1" x14ac:dyDescent="0.25">
      <c r="A57" s="5"/>
      <c r="B57" s="5"/>
      <c r="C57" s="5"/>
      <c r="D57" s="56" t="s">
        <v>58</v>
      </c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"/>
      <c r="Q57" s="5"/>
      <c r="R57" s="5"/>
      <c r="S57" s="5"/>
      <c r="T57" s="20"/>
      <c r="U57" s="102"/>
      <c r="V57" s="102"/>
      <c r="W57" s="102"/>
      <c r="X57" s="80"/>
      <c r="Y57" s="71"/>
      <c r="Z57" s="71"/>
      <c r="AA57" s="71"/>
      <c r="AB57" s="71"/>
      <c r="AC57" s="71"/>
      <c r="AD57" s="71"/>
      <c r="AE57" s="81"/>
      <c r="AF57" s="58"/>
      <c r="AG57" s="58"/>
      <c r="AH57" s="58"/>
      <c r="AI57" s="58"/>
      <c r="AJ57" s="58"/>
      <c r="AK57" s="102"/>
      <c r="AL57" s="102"/>
      <c r="AM57" s="102"/>
      <c r="AN57" s="102"/>
      <c r="AO57" s="13"/>
      <c r="AP57" s="13"/>
      <c r="AQ57" s="13"/>
    </row>
    <row r="58" spans="1:43" ht="8.1" customHeight="1" x14ac:dyDescent="0.25">
      <c r="A58" s="5"/>
      <c r="B58" s="5"/>
      <c r="C58" s="5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"/>
      <c r="Q58" s="5"/>
      <c r="R58" s="5"/>
      <c r="S58" s="5"/>
      <c r="T58" s="20"/>
      <c r="U58" s="102"/>
      <c r="V58" s="102"/>
      <c r="W58" s="102"/>
      <c r="X58" s="82"/>
      <c r="Y58" s="83"/>
      <c r="Z58" s="83"/>
      <c r="AA58" s="83"/>
      <c r="AB58" s="83"/>
      <c r="AC58" s="83"/>
      <c r="AD58" s="83"/>
      <c r="AE58" s="84"/>
      <c r="AF58" s="58"/>
      <c r="AG58" s="58"/>
      <c r="AH58" s="58"/>
      <c r="AI58" s="58"/>
      <c r="AJ58" s="58"/>
      <c r="AK58" s="102"/>
      <c r="AL58" s="102"/>
      <c r="AM58" s="102"/>
      <c r="AN58" s="102"/>
      <c r="AO58" s="13"/>
      <c r="AP58" s="13"/>
      <c r="AQ58" s="13"/>
    </row>
    <row r="59" spans="1:43" ht="8.1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20"/>
      <c r="U59" s="93" t="s">
        <v>33</v>
      </c>
      <c r="V59" s="94"/>
      <c r="W59" s="94"/>
      <c r="X59" s="87" t="s">
        <v>42</v>
      </c>
      <c r="Y59" s="88"/>
      <c r="Z59" s="88"/>
      <c r="AA59" s="88"/>
      <c r="AB59" s="88"/>
      <c r="AC59" s="88"/>
      <c r="AD59" s="88"/>
      <c r="AE59" s="89"/>
      <c r="AF59" s="58">
        <v>3</v>
      </c>
      <c r="AG59" s="58">
        <v>4</v>
      </c>
      <c r="AH59" s="58">
        <v>0</v>
      </c>
      <c r="AI59" s="58">
        <v>1</v>
      </c>
      <c r="AJ59" s="85" t="s">
        <v>20</v>
      </c>
      <c r="AK59" s="86" t="e">
        <f>INNER!#REF!</f>
        <v>#REF!</v>
      </c>
      <c r="AL59" s="86"/>
      <c r="AM59" s="86"/>
      <c r="AN59" s="86"/>
      <c r="AO59" s="13"/>
      <c r="AP59" s="13"/>
      <c r="AQ59" s="13"/>
    </row>
    <row r="60" spans="1:43" ht="8.1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0"/>
      <c r="U60" s="94"/>
      <c r="V60" s="94"/>
      <c r="W60" s="94"/>
      <c r="X60" s="90"/>
      <c r="Y60" s="91"/>
      <c r="Z60" s="91"/>
      <c r="AA60" s="91"/>
      <c r="AB60" s="91"/>
      <c r="AC60" s="91"/>
      <c r="AD60" s="91"/>
      <c r="AE60" s="92"/>
      <c r="AF60" s="58"/>
      <c r="AG60" s="58"/>
      <c r="AH60" s="58"/>
      <c r="AI60" s="58"/>
      <c r="AJ60" s="58"/>
      <c r="AK60" s="86"/>
      <c r="AL60" s="86"/>
      <c r="AM60" s="86"/>
      <c r="AN60" s="86"/>
      <c r="AO60" s="13"/>
      <c r="AP60" s="13"/>
      <c r="AQ60" s="13"/>
    </row>
    <row r="61" spans="1:43" ht="8.1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20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13"/>
      <c r="AP61" s="13"/>
      <c r="AQ61" s="13"/>
    </row>
    <row r="62" spans="1:43" ht="8.1" customHeight="1" x14ac:dyDescent="0.25">
      <c r="A62" s="57" t="s">
        <v>34</v>
      </c>
      <c r="B62" s="57"/>
      <c r="C62" s="57"/>
      <c r="D62" s="57"/>
      <c r="E62" s="57"/>
      <c r="F62" s="57"/>
      <c r="G62" s="57"/>
      <c r="H62" s="63"/>
      <c r="I62" s="64"/>
      <c r="J62" s="64"/>
      <c r="K62" s="64"/>
      <c r="L62" s="64"/>
      <c r="M62" s="5"/>
      <c r="N62" s="5"/>
      <c r="O62" s="5"/>
      <c r="P62" s="5"/>
      <c r="Q62" s="5"/>
      <c r="R62" s="5"/>
      <c r="S62" s="5"/>
      <c r="T62" s="20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13"/>
      <c r="AP62" s="13"/>
      <c r="AQ62" s="13"/>
    </row>
    <row r="63" spans="1:43" ht="8.1" customHeight="1" x14ac:dyDescent="0.25">
      <c r="A63" s="57"/>
      <c r="B63" s="57"/>
      <c r="C63" s="57"/>
      <c r="D63" s="57"/>
      <c r="E63" s="57"/>
      <c r="F63" s="57"/>
      <c r="G63" s="57"/>
      <c r="H63" s="64"/>
      <c r="I63" s="64"/>
      <c r="J63" s="64"/>
      <c r="K63" s="64"/>
      <c r="L63" s="64"/>
      <c r="M63" s="5"/>
      <c r="N63" s="5"/>
      <c r="O63" s="5"/>
      <c r="P63" s="5"/>
      <c r="Q63" s="5"/>
      <c r="R63" s="5"/>
      <c r="S63" s="5"/>
      <c r="T63" s="20"/>
      <c r="U63" s="95" t="s">
        <v>35</v>
      </c>
      <c r="V63" s="96"/>
      <c r="W63" s="96"/>
      <c r="X63" s="96"/>
      <c r="Y63" s="96"/>
      <c r="Z63" s="96"/>
      <c r="AA63" s="96"/>
      <c r="AB63" s="63"/>
      <c r="AC63" s="96"/>
      <c r="AD63" s="96"/>
      <c r="AE63" s="96"/>
      <c r="AF63" s="96"/>
      <c r="AG63" s="96"/>
      <c r="AH63" s="96"/>
      <c r="AI63" s="5"/>
      <c r="AJ63" s="5"/>
      <c r="AK63" s="5"/>
      <c r="AL63" s="5"/>
      <c r="AM63" s="5"/>
      <c r="AN63" s="5"/>
      <c r="AO63" s="13"/>
      <c r="AP63" s="13"/>
      <c r="AQ63" s="13"/>
    </row>
    <row r="64" spans="1:43" ht="11.25" customHeight="1" x14ac:dyDescent="0.25">
      <c r="A64" s="47" t="s">
        <v>69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20"/>
      <c r="U64" s="97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5"/>
      <c r="AJ64" s="5"/>
      <c r="AK64" s="5"/>
      <c r="AL64" s="5"/>
      <c r="AM64" s="5"/>
      <c r="AN64" s="5"/>
      <c r="AO64" s="13"/>
      <c r="AP64" s="13"/>
      <c r="AQ64" s="13"/>
    </row>
    <row r="65" spans="1:43" ht="12.75" customHeight="1" x14ac:dyDescent="0.25">
      <c r="A65" s="70" t="s">
        <v>71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"/>
      <c r="U65" s="98" t="s">
        <v>178</v>
      </c>
      <c r="V65" s="99"/>
      <c r="W65" s="99"/>
      <c r="X65" s="99"/>
      <c r="Y65" s="99"/>
      <c r="Z65" s="99"/>
      <c r="AA65" s="99"/>
      <c r="AB65" s="100" t="s">
        <v>185</v>
      </c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13"/>
      <c r="AP65" s="13"/>
      <c r="AQ65" s="13"/>
    </row>
    <row r="66" spans="1:43" ht="16.5" customHeight="1" x14ac:dyDescent="0.25">
      <c r="A66" s="70" t="s">
        <v>70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"/>
      <c r="U66" s="98"/>
      <c r="V66" s="99"/>
      <c r="W66" s="99"/>
      <c r="X66" s="99"/>
      <c r="Y66" s="99"/>
      <c r="Z66" s="99"/>
      <c r="AA66" s="99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13"/>
      <c r="AP66" s="13"/>
      <c r="AQ66" s="13"/>
    </row>
    <row r="67" spans="1:43" ht="15" customHeight="1" x14ac:dyDescent="0.25">
      <c r="A67" s="47" t="s">
        <v>72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21"/>
      <c r="U67" s="22" t="s">
        <v>75</v>
      </c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13"/>
      <c r="AP67" s="13"/>
      <c r="AQ67" s="13"/>
    </row>
    <row r="68" spans="1:43" ht="8.1" customHeight="1" x14ac:dyDescent="0.25">
      <c r="A68" s="47" t="s">
        <v>73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21"/>
      <c r="U68" s="76" t="s">
        <v>45</v>
      </c>
      <c r="V68" s="56"/>
      <c r="W68" s="56"/>
      <c r="X68" s="57"/>
      <c r="Y68" s="57"/>
      <c r="Z68" s="57"/>
      <c r="AA68" s="57"/>
      <c r="AB68" s="57"/>
      <c r="AC68" s="57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13"/>
      <c r="AP68" s="13"/>
      <c r="AQ68" s="13"/>
    </row>
    <row r="69" spans="1:43" ht="8.1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21"/>
      <c r="U69" s="76"/>
      <c r="V69" s="56"/>
      <c r="W69" s="56"/>
      <c r="X69" s="57"/>
      <c r="Y69" s="57"/>
      <c r="Z69" s="57"/>
      <c r="AA69" s="57"/>
      <c r="AB69" s="57"/>
      <c r="AC69" s="57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13"/>
      <c r="AP69" s="13"/>
      <c r="AQ69" s="13"/>
    </row>
    <row r="70" spans="1:43" ht="8.1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21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13"/>
      <c r="AP70" s="13"/>
      <c r="AQ70" s="13"/>
    </row>
    <row r="71" spans="1:43" ht="8.1" customHeight="1" x14ac:dyDescent="0.25">
      <c r="T71" s="24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13"/>
      <c r="AP71" s="13"/>
      <c r="AQ71" s="13"/>
    </row>
    <row r="72" spans="1:43" ht="8.1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20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13"/>
      <c r="AP72" s="13"/>
      <c r="AQ72" s="13"/>
    </row>
    <row r="73" spans="1:43" ht="8.1" customHeight="1" x14ac:dyDescent="0.25">
      <c r="A73" s="74" t="s">
        <v>54</v>
      </c>
      <c r="B73" s="74"/>
      <c r="C73" s="74"/>
      <c r="D73" s="75"/>
      <c r="E73" s="75"/>
      <c r="F73" s="75"/>
      <c r="G73" s="75"/>
      <c r="H73" s="75"/>
      <c r="I73" s="75"/>
      <c r="J73" s="75"/>
      <c r="T73" s="24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13"/>
      <c r="AP73" s="13"/>
      <c r="AQ73" s="13"/>
    </row>
    <row r="74" spans="1:43" ht="8.1" customHeight="1" x14ac:dyDescent="0.25">
      <c r="A74" s="74"/>
      <c r="B74" s="74"/>
      <c r="C74" s="74"/>
      <c r="D74" s="75"/>
      <c r="E74" s="75"/>
      <c r="F74" s="75"/>
      <c r="G74" s="75"/>
      <c r="H74" s="75"/>
      <c r="I74" s="75"/>
      <c r="J74" s="75"/>
      <c r="K74" s="5"/>
      <c r="L74" s="5"/>
      <c r="M74" s="5"/>
      <c r="N74" s="5"/>
      <c r="O74" s="5"/>
      <c r="P74" s="5"/>
      <c r="Q74" s="5"/>
      <c r="R74" s="5"/>
      <c r="S74" s="5"/>
      <c r="T74" s="20"/>
      <c r="U74" s="5"/>
      <c r="V74" s="5"/>
      <c r="W74" s="5"/>
      <c r="X74" s="5"/>
      <c r="Y74" s="5"/>
      <c r="Z74" s="5"/>
      <c r="AA74" s="5"/>
      <c r="AB74" s="5"/>
      <c r="AC74" s="5"/>
      <c r="AD74" s="5"/>
      <c r="AE74" s="25"/>
      <c r="AF74" s="5"/>
      <c r="AG74" s="5"/>
      <c r="AH74" s="5"/>
      <c r="AI74" s="5"/>
      <c r="AJ74" s="5"/>
      <c r="AK74" s="5"/>
      <c r="AL74" s="5"/>
      <c r="AM74" s="5"/>
      <c r="AN74" s="5"/>
      <c r="AO74" s="13"/>
      <c r="AP74" s="13"/>
      <c r="AQ74" s="13"/>
    </row>
    <row r="75" spans="1:43" ht="8.1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20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13"/>
      <c r="AP75" s="13"/>
      <c r="AQ75" s="13"/>
    </row>
    <row r="76" spans="1:43" ht="8.1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20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6"/>
      <c r="AO76" s="13"/>
      <c r="AP76" s="13"/>
      <c r="AQ76" s="13"/>
    </row>
    <row r="77" spans="1:43" ht="8.1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20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6"/>
      <c r="AO77" s="13"/>
      <c r="AP77" s="13"/>
      <c r="AQ77" s="13"/>
    </row>
    <row r="78" spans="1:43" ht="8.1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20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6"/>
      <c r="AO78" s="13"/>
      <c r="AP78" s="13"/>
      <c r="AQ78" s="13"/>
    </row>
    <row r="79" spans="1:43" ht="8.1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20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6"/>
      <c r="AO79" s="13"/>
      <c r="AP79" s="13"/>
      <c r="AQ79" s="13"/>
    </row>
    <row r="80" spans="1:43" ht="8.1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20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13"/>
      <c r="AP80" s="13"/>
      <c r="AQ80" s="13"/>
    </row>
    <row r="81" spans="1:43" ht="8.1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20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13"/>
      <c r="AP81" s="13"/>
      <c r="AQ81" s="13"/>
    </row>
    <row r="82" spans="1:43" ht="8.1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25"/>
      <c r="K82" s="5"/>
      <c r="L82" s="5"/>
      <c r="M82" s="5"/>
      <c r="N82" s="5"/>
      <c r="O82" s="5"/>
      <c r="P82" s="5"/>
      <c r="Q82" s="5"/>
      <c r="R82" s="5"/>
      <c r="S82" s="5"/>
      <c r="T82" s="20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13"/>
      <c r="AP82" s="13"/>
      <c r="AQ82" s="13"/>
    </row>
    <row r="83" spans="1:43" ht="8.1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20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13"/>
      <c r="AP83" s="13"/>
      <c r="AQ83" s="13"/>
    </row>
    <row r="84" spans="1:43" ht="8.1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20"/>
      <c r="U84" s="66" t="s">
        <v>183</v>
      </c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13"/>
      <c r="AP84" s="13"/>
      <c r="AQ84" s="13"/>
    </row>
    <row r="85" spans="1:43" ht="8.1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20"/>
      <c r="U85" s="66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13"/>
      <c r="AP85" s="13"/>
      <c r="AQ85" s="13"/>
    </row>
    <row r="86" spans="1:43" ht="8.1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20"/>
      <c r="U86" s="9"/>
      <c r="V86" s="9"/>
      <c r="W86" s="9"/>
      <c r="X86" s="9"/>
      <c r="Y86" s="9"/>
      <c r="Z86" s="9"/>
      <c r="AA86" s="9"/>
      <c r="AB86" s="9"/>
      <c r="AC86" s="9"/>
      <c r="AD86" s="13"/>
      <c r="AE86" s="13"/>
      <c r="AF86" s="18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</row>
    <row r="87" spans="1:43" ht="8.1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20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</row>
    <row r="88" spans="1:43" ht="8.1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26"/>
      <c r="U88" s="52" t="s">
        <v>15</v>
      </c>
      <c r="V88" s="52"/>
      <c r="W88" s="52"/>
      <c r="X88" s="52"/>
      <c r="Y88" s="52"/>
      <c r="Z88" s="52"/>
      <c r="AA88" s="52"/>
      <c r="AB88" s="52"/>
      <c r="AC88" s="52"/>
      <c r="AD88" s="13"/>
      <c r="AE88" s="13"/>
      <c r="AF88" s="71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</row>
    <row r="89" spans="1:43" ht="8.1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20"/>
      <c r="U89" s="52"/>
      <c r="V89" s="52"/>
      <c r="W89" s="52"/>
      <c r="X89" s="52"/>
      <c r="Y89" s="52"/>
      <c r="Z89" s="52"/>
      <c r="AA89" s="52"/>
      <c r="AB89" s="52"/>
      <c r="AC89" s="52"/>
      <c r="AD89" s="13" t="s">
        <v>43</v>
      </c>
      <c r="AE89" s="13"/>
      <c r="AF89" s="71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</row>
    <row r="90" spans="1:43" ht="8.1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20"/>
      <c r="U90" s="9"/>
      <c r="V90" s="9"/>
      <c r="W90" s="9"/>
      <c r="X90" s="9"/>
      <c r="Y90" s="9"/>
      <c r="Z90" s="9"/>
      <c r="AA90" s="9"/>
      <c r="AB90" s="9"/>
      <c r="AC90" s="9"/>
      <c r="AD90" s="13"/>
      <c r="AE90" s="13"/>
      <c r="AF90" s="18"/>
      <c r="AG90" s="18"/>
      <c r="AH90" s="18"/>
      <c r="AI90" s="18"/>
      <c r="AJ90" s="18"/>
      <c r="AK90" s="18"/>
      <c r="AL90" s="5"/>
      <c r="AM90" s="5"/>
      <c r="AN90" s="5"/>
      <c r="AO90" s="13"/>
      <c r="AP90" s="13"/>
      <c r="AQ90" s="13"/>
    </row>
    <row r="91" spans="1:43" ht="8.1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26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5"/>
      <c r="AM91" s="5"/>
      <c r="AN91" s="5"/>
      <c r="AO91" s="13"/>
      <c r="AP91" s="13"/>
      <c r="AQ91" s="13"/>
    </row>
    <row r="92" spans="1:43" ht="8.1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20"/>
      <c r="U92" s="66" t="s">
        <v>44</v>
      </c>
      <c r="V92" s="52"/>
      <c r="W92" s="52"/>
      <c r="X92" s="52"/>
      <c r="Y92" s="52"/>
      <c r="Z92" s="52"/>
      <c r="AA92" s="52"/>
      <c r="AB92" s="52"/>
      <c r="AC92" s="52"/>
      <c r="AD92" s="13"/>
      <c r="AE92" s="13"/>
      <c r="AF92" s="71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</row>
    <row r="93" spans="1:43" ht="8.1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20"/>
      <c r="U93" s="66"/>
      <c r="V93" s="52"/>
      <c r="W93" s="52"/>
      <c r="X93" s="52"/>
      <c r="Y93" s="52"/>
      <c r="Z93" s="52"/>
      <c r="AA93" s="52"/>
      <c r="AB93" s="52"/>
      <c r="AC93" s="52"/>
      <c r="AD93" s="13"/>
      <c r="AE93" s="13"/>
      <c r="AF93" s="71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</row>
    <row r="94" spans="1:43" ht="8.1" customHeight="1" thickBo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27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3"/>
      <c r="AP94" s="13"/>
      <c r="AQ94" s="13"/>
    </row>
    <row r="95" spans="1:43" ht="8.1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13"/>
      <c r="AP95" s="13"/>
      <c r="AQ95" s="13"/>
    </row>
    <row r="96" spans="1:43" ht="8.1" customHeight="1" x14ac:dyDescent="0.25">
      <c r="A96" s="49" t="s">
        <v>29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5"/>
      <c r="AO96" s="13"/>
      <c r="AP96" s="13"/>
      <c r="AQ96" s="13"/>
    </row>
    <row r="97" spans="1:43" ht="8.1" customHeight="1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5"/>
      <c r="AO97" s="13"/>
      <c r="AP97" s="13"/>
      <c r="AQ97" s="13"/>
    </row>
    <row r="98" spans="1:43" ht="8.1" customHeight="1" x14ac:dyDescent="0.25">
      <c r="A98" s="48" t="s">
        <v>30</v>
      </c>
      <c r="B98" s="48"/>
      <c r="C98" s="48"/>
      <c r="D98" s="48"/>
      <c r="E98" s="4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13"/>
      <c r="AP98" s="13"/>
      <c r="AQ98" s="13"/>
    </row>
    <row r="99" spans="1:43" ht="8.1" customHeight="1" x14ac:dyDescent="0.25">
      <c r="A99" s="48"/>
      <c r="B99" s="48"/>
      <c r="C99" s="48"/>
      <c r="D99" s="48"/>
      <c r="E99" s="4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13"/>
      <c r="AP99" s="13"/>
      <c r="AQ99" s="13"/>
    </row>
    <row r="100" spans="1:43" ht="8.1" customHeight="1" x14ac:dyDescent="0.25">
      <c r="A100" s="5"/>
      <c r="B100" s="5"/>
      <c r="C100" s="5"/>
      <c r="D100" s="5"/>
      <c r="E100" s="28"/>
      <c r="F100" s="5"/>
      <c r="G100" s="5"/>
      <c r="H100" s="5"/>
      <c r="I100" s="5"/>
      <c r="J100" s="5"/>
      <c r="K100" s="5"/>
      <c r="L100" s="29"/>
      <c r="M100" s="29"/>
      <c r="N100" s="29"/>
      <c r="O100" s="29"/>
      <c r="P100" s="29"/>
      <c r="Q100" s="29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13"/>
      <c r="AP100" s="13"/>
    </row>
    <row r="101" spans="1:43" ht="8.1" customHeight="1" x14ac:dyDescent="0.25">
      <c r="A101" s="5"/>
      <c r="B101" s="5"/>
      <c r="C101" s="5"/>
      <c r="D101" s="5"/>
      <c r="E101" s="28"/>
      <c r="F101" s="5"/>
      <c r="G101" s="5"/>
      <c r="H101" s="5"/>
      <c r="I101" s="5"/>
      <c r="J101" s="5"/>
      <c r="K101" s="5"/>
      <c r="L101" s="29"/>
      <c r="M101" s="29"/>
      <c r="N101" s="29"/>
      <c r="O101" s="29"/>
      <c r="P101" s="29"/>
      <c r="Q101" s="29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13"/>
      <c r="AP101" s="13"/>
    </row>
    <row r="102" spans="1:43" ht="8.1" customHeight="1" x14ac:dyDescent="0.25">
      <c r="A102" s="5"/>
      <c r="B102" s="5"/>
      <c r="C102" s="5"/>
      <c r="D102" s="5"/>
      <c r="E102" s="28"/>
      <c r="F102" s="5"/>
      <c r="G102" s="5"/>
      <c r="H102" s="5"/>
      <c r="I102" s="5"/>
      <c r="J102" s="5"/>
      <c r="K102" s="3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13"/>
      <c r="AP102" s="13"/>
    </row>
    <row r="103" spans="1:43" ht="8.1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O103" s="13"/>
      <c r="AP103" s="13"/>
    </row>
    <row r="104" spans="1:43" ht="8.1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O104" s="13"/>
      <c r="AP104" s="13"/>
    </row>
    <row r="105" spans="1:43" ht="8.1" customHeight="1" x14ac:dyDescent="0.25">
      <c r="A105" s="47" t="s">
        <v>46</v>
      </c>
      <c r="B105" s="48"/>
      <c r="C105" s="5"/>
      <c r="D105" s="5"/>
      <c r="E105" s="5"/>
      <c r="F105" s="5"/>
      <c r="G105" s="5"/>
      <c r="H105" s="5"/>
      <c r="I105" s="5"/>
      <c r="J105" s="5"/>
      <c r="K105" s="5"/>
      <c r="L105" s="57" t="s">
        <v>21</v>
      </c>
      <c r="M105" s="57"/>
      <c r="N105" s="57"/>
      <c r="O105" s="57"/>
      <c r="P105" s="57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47" t="s">
        <v>47</v>
      </c>
      <c r="AG105" s="48"/>
      <c r="AH105" s="48"/>
      <c r="AI105" s="48"/>
      <c r="AJ105" s="48"/>
      <c r="AK105" s="48"/>
      <c r="AL105" s="5"/>
      <c r="AM105" s="5"/>
    </row>
    <row r="106" spans="1:43" ht="8.1" customHeight="1" x14ac:dyDescent="0.25">
      <c r="A106" s="48"/>
      <c r="B106" s="48"/>
      <c r="C106" s="5"/>
      <c r="D106" s="5"/>
      <c r="E106" s="5"/>
      <c r="F106" s="5"/>
      <c r="G106" s="5"/>
      <c r="H106" s="5"/>
      <c r="I106" s="5"/>
      <c r="J106" s="5"/>
      <c r="K106" s="5"/>
      <c r="L106" s="57"/>
      <c r="M106" s="57"/>
      <c r="N106" s="57"/>
      <c r="O106" s="57"/>
      <c r="P106" s="57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48"/>
      <c r="AG106" s="48"/>
      <c r="AH106" s="48"/>
      <c r="AI106" s="48"/>
      <c r="AJ106" s="48"/>
      <c r="AK106" s="48"/>
      <c r="AL106" s="5"/>
      <c r="AM106" s="5"/>
    </row>
    <row r="107" spans="1:43" ht="8.1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43" ht="8.1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43" ht="8.1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43" ht="8.1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</row>
    <row r="111" spans="1:43" ht="8.1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43" ht="8.1" customHeight="1" x14ac:dyDescent="0.25">
      <c r="A112" s="49" t="s">
        <v>31</v>
      </c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</row>
    <row r="113" spans="1:39" ht="8.1" customHeight="1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</row>
    <row r="114" spans="1:39" ht="8.1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8.1" customHeight="1" x14ac:dyDescent="0.25">
      <c r="A115" s="47" t="s">
        <v>48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5"/>
      <c r="S115" s="5"/>
      <c r="T115" s="5"/>
      <c r="U115" s="47" t="s">
        <v>49</v>
      </c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5"/>
      <c r="AM115" s="5"/>
    </row>
    <row r="116" spans="1:39" ht="8.1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5"/>
      <c r="S116" s="5"/>
      <c r="T116" s="5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5"/>
      <c r="AM116" s="5"/>
    </row>
    <row r="117" spans="1:39" ht="8.1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8.1" customHeight="1" x14ac:dyDescent="0.25">
      <c r="A118" s="47" t="s">
        <v>50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8.1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8.1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8.1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8.1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8.1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8.1" customHeight="1" x14ac:dyDescent="0.25">
      <c r="A124" s="47" t="s">
        <v>52</v>
      </c>
      <c r="B124" s="48"/>
      <c r="C124" s="48"/>
      <c r="D124" s="48"/>
      <c r="E124" s="5"/>
      <c r="F124" s="5"/>
      <c r="G124" s="5"/>
      <c r="H124" s="5"/>
      <c r="I124" s="5"/>
      <c r="J124" s="56" t="s">
        <v>51</v>
      </c>
      <c r="K124" s="57"/>
      <c r="L124" s="57"/>
      <c r="M124" s="57"/>
      <c r="N124" s="57"/>
      <c r="O124" s="57"/>
      <c r="P124" s="57"/>
      <c r="Q124" s="57"/>
      <c r="R124" s="57"/>
      <c r="S124" s="57"/>
      <c r="T124" s="5"/>
      <c r="U124" s="5"/>
      <c r="V124" s="5"/>
      <c r="W124" s="5"/>
      <c r="X124" s="5"/>
      <c r="Y124" s="5"/>
      <c r="Z124" s="5"/>
      <c r="AA124" s="5"/>
      <c r="AB124" s="56" t="s">
        <v>53</v>
      </c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</row>
    <row r="125" spans="1:39" ht="8.1" customHeight="1" x14ac:dyDescent="0.25">
      <c r="A125" s="48"/>
      <c r="B125" s="48"/>
      <c r="C125" s="48"/>
      <c r="D125" s="48"/>
      <c r="E125" s="5"/>
      <c r="F125" s="5"/>
      <c r="G125" s="5"/>
      <c r="H125" s="5"/>
      <c r="I125" s="5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"/>
      <c r="U125" s="5"/>
      <c r="V125" s="5"/>
      <c r="W125" s="5"/>
      <c r="X125" s="5"/>
      <c r="Y125" s="5"/>
      <c r="Z125" s="5"/>
      <c r="AA125" s="5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</row>
    <row r="126" spans="1:39" ht="8.1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8.1" customHeight="1" x14ac:dyDescent="0.25"/>
    <row r="128" spans="1:39" ht="8.1" customHeight="1" x14ac:dyDescent="0.25"/>
    <row r="129" ht="8.1" customHeight="1" x14ac:dyDescent="0.25"/>
    <row r="130" ht="8.1" customHeight="1" x14ac:dyDescent="0.25"/>
    <row r="131" ht="8.1" customHeight="1" x14ac:dyDescent="0.25"/>
    <row r="132" ht="8.1" customHeight="1" x14ac:dyDescent="0.25"/>
    <row r="133" ht="8.1" customHeight="1" x14ac:dyDescent="0.25"/>
    <row r="134" ht="8.1" customHeight="1" x14ac:dyDescent="0.25"/>
    <row r="135" ht="8.1" customHeight="1" x14ac:dyDescent="0.25"/>
    <row r="136" ht="8.1" customHeight="1" x14ac:dyDescent="0.25"/>
    <row r="137" ht="8.1" customHeight="1" x14ac:dyDescent="0.25"/>
    <row r="138" ht="8.1" customHeight="1" x14ac:dyDescent="0.25"/>
    <row r="139" ht="8.1" customHeight="1" x14ac:dyDescent="0.25"/>
    <row r="140" ht="8.1" customHeight="1" x14ac:dyDescent="0.25"/>
    <row r="141" ht="8.1" customHeight="1" x14ac:dyDescent="0.25"/>
    <row r="142" ht="8.1" customHeight="1" x14ac:dyDescent="0.25"/>
    <row r="143" ht="8.1" customHeight="1" x14ac:dyDescent="0.25"/>
    <row r="144" ht="8.1" customHeight="1" x14ac:dyDescent="0.25"/>
    <row r="145" ht="8.1" customHeight="1" x14ac:dyDescent="0.25"/>
    <row r="146" ht="8.1" customHeight="1" x14ac:dyDescent="0.25"/>
    <row r="147" ht="8.1" customHeight="1" x14ac:dyDescent="0.25"/>
    <row r="148" ht="8.1" customHeight="1" x14ac:dyDescent="0.25"/>
    <row r="149" ht="8.1" customHeight="1" x14ac:dyDescent="0.25"/>
    <row r="150" ht="8.1" customHeight="1" x14ac:dyDescent="0.25"/>
    <row r="151" ht="8.1" customHeight="1" x14ac:dyDescent="0.25"/>
    <row r="152" ht="8.1" customHeight="1" x14ac:dyDescent="0.25"/>
    <row r="153" ht="8.1" customHeight="1" x14ac:dyDescent="0.25"/>
    <row r="154" ht="8.1" customHeight="1" x14ac:dyDescent="0.25"/>
    <row r="155" ht="8.1" customHeight="1" x14ac:dyDescent="0.25"/>
    <row r="156" ht="8.1" customHeight="1" x14ac:dyDescent="0.25"/>
    <row r="157" ht="8.1" customHeight="1" x14ac:dyDescent="0.25"/>
    <row r="158" ht="8.1" customHeight="1" x14ac:dyDescent="0.25"/>
    <row r="159" ht="8.1" customHeight="1" x14ac:dyDescent="0.25"/>
    <row r="160" ht="8.1" customHeight="1" x14ac:dyDescent="0.25"/>
    <row r="161" ht="8.1" customHeight="1" x14ac:dyDescent="0.25"/>
    <row r="162" ht="8.1" customHeight="1" x14ac:dyDescent="0.25"/>
    <row r="163" ht="8.1" customHeight="1" x14ac:dyDescent="0.25"/>
    <row r="164" ht="8.1" customHeight="1" x14ac:dyDescent="0.25"/>
    <row r="165" ht="8.1" customHeight="1" x14ac:dyDescent="0.25"/>
    <row r="166" ht="8.1" customHeight="1" x14ac:dyDescent="0.25"/>
    <row r="167" ht="8.1" customHeight="1" x14ac:dyDescent="0.25"/>
    <row r="168" ht="8.1" customHeight="1" x14ac:dyDescent="0.25"/>
    <row r="169" ht="8.1" customHeight="1" x14ac:dyDescent="0.25"/>
    <row r="170" ht="8.1" customHeight="1" x14ac:dyDescent="0.25"/>
    <row r="171" ht="8.1" customHeight="1" x14ac:dyDescent="0.25"/>
    <row r="172" ht="8.1" customHeight="1" x14ac:dyDescent="0.25"/>
    <row r="173" ht="8.1" customHeight="1" x14ac:dyDescent="0.25"/>
    <row r="174" ht="8.1" customHeight="1" x14ac:dyDescent="0.25"/>
    <row r="175" ht="8.1" customHeight="1" x14ac:dyDescent="0.25"/>
    <row r="176" ht="8.1" customHeight="1" x14ac:dyDescent="0.25"/>
    <row r="177" ht="8.1" customHeight="1" x14ac:dyDescent="0.25"/>
    <row r="178" ht="8.1" customHeight="1" x14ac:dyDescent="0.25"/>
    <row r="179" ht="8.1" customHeight="1" x14ac:dyDescent="0.25"/>
    <row r="180" ht="8.1" customHeight="1" x14ac:dyDescent="0.25"/>
    <row r="181" ht="8.1" customHeight="1" x14ac:dyDescent="0.25"/>
    <row r="182" ht="8.1" customHeight="1" x14ac:dyDescent="0.25"/>
    <row r="183" ht="8.1" customHeight="1" x14ac:dyDescent="0.25"/>
    <row r="184" ht="8.1" customHeight="1" x14ac:dyDescent="0.25"/>
    <row r="185" ht="8.1" customHeight="1" x14ac:dyDescent="0.25"/>
    <row r="186" ht="8.1" customHeight="1" x14ac:dyDescent="0.25"/>
    <row r="187" ht="8.1" customHeight="1" x14ac:dyDescent="0.25"/>
    <row r="188" ht="8.1" customHeight="1" x14ac:dyDescent="0.25"/>
    <row r="189" ht="8.1" customHeight="1" x14ac:dyDescent="0.25"/>
    <row r="190" ht="8.1" customHeight="1" x14ac:dyDescent="0.25"/>
  </sheetData>
  <mergeCells count="131">
    <mergeCell ref="P9:AH10"/>
    <mergeCell ref="AE5:AI6"/>
    <mergeCell ref="U52:AN53"/>
    <mergeCell ref="AK55:AN58"/>
    <mergeCell ref="U55:W58"/>
    <mergeCell ref="U46:AN47"/>
    <mergeCell ref="U49:AN50"/>
    <mergeCell ref="AH48:AN48"/>
    <mergeCell ref="AJ30:AJ31"/>
    <mergeCell ref="AJ27:AJ28"/>
    <mergeCell ref="AG27:AG28"/>
    <mergeCell ref="X30:X31"/>
    <mergeCell ref="Z15:AN16"/>
    <mergeCell ref="Z18:AN19"/>
    <mergeCell ref="O21:AB22"/>
    <mergeCell ref="AG21:AN22"/>
    <mergeCell ref="R49:R50"/>
    <mergeCell ref="X27:X28"/>
    <mergeCell ref="U43:AN44"/>
    <mergeCell ref="AI27:AI28"/>
    <mergeCell ref="Y27:AC28"/>
    <mergeCell ref="U34:AN35"/>
    <mergeCell ref="Q23:X24"/>
    <mergeCell ref="U84:AN85"/>
    <mergeCell ref="U68:W69"/>
    <mergeCell ref="X68:AC69"/>
    <mergeCell ref="X55:AE58"/>
    <mergeCell ref="AI59:AI60"/>
    <mergeCell ref="AJ59:AJ60"/>
    <mergeCell ref="AK59:AN60"/>
    <mergeCell ref="X59:AE60"/>
    <mergeCell ref="U59:W60"/>
    <mergeCell ref="AF59:AF60"/>
    <mergeCell ref="U63:AA64"/>
    <mergeCell ref="AB63:AH64"/>
    <mergeCell ref="U65:AA66"/>
    <mergeCell ref="AB65:AN66"/>
    <mergeCell ref="A40:A41"/>
    <mergeCell ref="B40:G41"/>
    <mergeCell ref="P40:P41"/>
    <mergeCell ref="Q40:Q41"/>
    <mergeCell ref="R40:R41"/>
    <mergeCell ref="R34:R35"/>
    <mergeCell ref="A34:A35"/>
    <mergeCell ref="B34:H35"/>
    <mergeCell ref="B43:E44"/>
    <mergeCell ref="P43:P44"/>
    <mergeCell ref="A43:A44"/>
    <mergeCell ref="G52:G53"/>
    <mergeCell ref="H52:H53"/>
    <mergeCell ref="I52:I53"/>
    <mergeCell ref="J52:J53"/>
    <mergeCell ref="Q52:Q53"/>
    <mergeCell ref="R52:R53"/>
    <mergeCell ref="T27:T28"/>
    <mergeCell ref="Q43:Q44"/>
    <mergeCell ref="R43:R44"/>
    <mergeCell ref="R37:R38"/>
    <mergeCell ref="S52:S53"/>
    <mergeCell ref="A118:Q119"/>
    <mergeCell ref="J124:S125"/>
    <mergeCell ref="AB124:AM125"/>
    <mergeCell ref="AE7:AI8"/>
    <mergeCell ref="P11:AF12"/>
    <mergeCell ref="AJ7:AN8"/>
    <mergeCell ref="A62:G63"/>
    <mergeCell ref="AF92:AF93"/>
    <mergeCell ref="U88:AC89"/>
    <mergeCell ref="AF88:AF89"/>
    <mergeCell ref="A115:Q116"/>
    <mergeCell ref="U115:AK116"/>
    <mergeCell ref="AF105:AK106"/>
    <mergeCell ref="A64:S64"/>
    <mergeCell ref="A73:C74"/>
    <mergeCell ref="D73:J74"/>
    <mergeCell ref="B11:O12"/>
    <mergeCell ref="D57:O58"/>
    <mergeCell ref="A27:A28"/>
    <mergeCell ref="B27:D28"/>
    <mergeCell ref="G27:G28"/>
    <mergeCell ref="A68:S69"/>
    <mergeCell ref="H27:H28"/>
    <mergeCell ref="AH27:AH28"/>
    <mergeCell ref="A96:AM97"/>
    <mergeCell ref="U92:AC93"/>
    <mergeCell ref="U40:AN41"/>
    <mergeCell ref="U37:AN38"/>
    <mergeCell ref="A65:S65"/>
    <mergeCell ref="A66:S66"/>
    <mergeCell ref="A67:S67"/>
    <mergeCell ref="O49:O50"/>
    <mergeCell ref="P49:P50"/>
    <mergeCell ref="K52:K53"/>
    <mergeCell ref="L52:L53"/>
    <mergeCell ref="A46:A47"/>
    <mergeCell ref="B46:F47"/>
    <mergeCell ref="R46:R47"/>
    <mergeCell ref="A49:A50"/>
    <mergeCell ref="B49:G50"/>
    <mergeCell ref="L49:L50"/>
    <mergeCell ref="M49:M50"/>
    <mergeCell ref="N49:N50"/>
    <mergeCell ref="AF55:AI58"/>
    <mergeCell ref="AJ55:AJ58"/>
    <mergeCell ref="Q49:Q50"/>
    <mergeCell ref="A52:A53"/>
    <mergeCell ref="B52:F53"/>
    <mergeCell ref="A124:D125"/>
    <mergeCell ref="A112:AM113"/>
    <mergeCell ref="A3:AN4"/>
    <mergeCell ref="Q5:Y6"/>
    <mergeCell ref="Y30:AC31"/>
    <mergeCell ref="AJ5:AN6"/>
    <mergeCell ref="AG30:AG31"/>
    <mergeCell ref="AH30:AH31"/>
    <mergeCell ref="AI30:AI31"/>
    <mergeCell ref="A9:O10"/>
    <mergeCell ref="AG59:AG60"/>
    <mergeCell ref="AH59:AH60"/>
    <mergeCell ref="T30:T31"/>
    <mergeCell ref="M52:M53"/>
    <mergeCell ref="N52:N53"/>
    <mergeCell ref="O52:O53"/>
    <mergeCell ref="A15:T17"/>
    <mergeCell ref="H62:L63"/>
    <mergeCell ref="A98:E99"/>
    <mergeCell ref="A105:B106"/>
    <mergeCell ref="L105:P106"/>
    <mergeCell ref="P52:P53"/>
    <mergeCell ref="A37:A38"/>
    <mergeCell ref="B37:C38"/>
  </mergeCells>
  <phoneticPr fontId="0" type="noConversion"/>
  <printOptions horizontalCentered="1"/>
  <pageMargins left="0.23622047244094491" right="0.23622047244094491" top="0.23622047244094491" bottom="0.23622047244094491" header="0" footer="0"/>
  <pageSetup paperSize="9" scale="75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1"/>
  <sheetViews>
    <sheetView tabSelected="1" view="pageBreakPreview" zoomScale="115" zoomScaleNormal="140" zoomScaleSheetLayoutView="115" workbookViewId="0">
      <selection activeCell="D7" sqref="D7"/>
    </sheetView>
  </sheetViews>
  <sheetFormatPr defaultColWidth="9.109375" defaultRowHeight="14.4" x14ac:dyDescent="0.25"/>
  <cols>
    <col min="1" max="1" width="10.44140625" style="40" customWidth="1"/>
    <col min="2" max="2" width="11.88671875" style="42" customWidth="1"/>
    <col min="3" max="3" width="28.6640625" style="42" customWidth="1"/>
    <col min="4" max="4" width="38.109375" style="42" customWidth="1"/>
    <col min="5" max="5" width="14.109375" style="40" customWidth="1"/>
    <col min="6" max="6" width="18.88671875" style="42" bestFit="1" customWidth="1"/>
    <col min="7" max="7" width="15.5546875" style="42" customWidth="1"/>
    <col min="8" max="8" width="19.6640625" style="42" customWidth="1"/>
    <col min="9" max="10" width="9.109375" style="4"/>
    <col min="11" max="11" width="10.5546875" style="4" bestFit="1" customWidth="1"/>
    <col min="12" max="16384" width="9.109375" style="4"/>
  </cols>
  <sheetData>
    <row r="1" spans="1:21" ht="18" customHeight="1" x14ac:dyDescent="0.25">
      <c r="A1" s="46" t="s">
        <v>187</v>
      </c>
      <c r="B1" s="46"/>
      <c r="C1" s="46"/>
      <c r="D1" s="46"/>
      <c r="E1" s="46"/>
      <c r="F1" s="46"/>
      <c r="G1" s="46"/>
      <c r="H1" s="46"/>
    </row>
    <row r="2" spans="1:21" ht="16.5" customHeight="1" x14ac:dyDescent="0.25">
      <c r="A2" s="46"/>
      <c r="B2" s="46"/>
      <c r="C2" s="46"/>
      <c r="D2" s="46"/>
      <c r="E2" s="46"/>
      <c r="F2" s="46"/>
      <c r="G2" s="46"/>
      <c r="H2" s="46"/>
    </row>
    <row r="3" spans="1:21" ht="33.75" customHeight="1" x14ac:dyDescent="0.25">
      <c r="A3" s="3" t="s">
        <v>62</v>
      </c>
      <c r="B3" s="41" t="s">
        <v>63</v>
      </c>
      <c r="C3" s="41" t="s">
        <v>64</v>
      </c>
      <c r="D3" s="41" t="s">
        <v>65</v>
      </c>
      <c r="E3" s="3" t="s">
        <v>66</v>
      </c>
      <c r="F3" s="41" t="s">
        <v>67</v>
      </c>
      <c r="G3" s="41" t="s">
        <v>68</v>
      </c>
      <c r="H3" s="41" t="s">
        <v>59</v>
      </c>
    </row>
    <row r="4" spans="1:21" ht="15.75" customHeight="1" x14ac:dyDescent="0.25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</row>
    <row r="5" spans="1:21" ht="15.75" customHeight="1" x14ac:dyDescent="0.25">
      <c r="A5" s="2">
        <v>1</v>
      </c>
      <c r="B5" s="43" t="s">
        <v>186</v>
      </c>
      <c r="C5" s="44" t="s">
        <v>182</v>
      </c>
      <c r="D5" s="45" t="s">
        <v>188</v>
      </c>
      <c r="E5" s="2">
        <v>104</v>
      </c>
      <c r="F5" s="43" t="s">
        <v>189</v>
      </c>
      <c r="G5" s="2">
        <v>371553</v>
      </c>
      <c r="H5" s="2"/>
    </row>
    <row r="6" spans="1:21" ht="15.75" customHeight="1" x14ac:dyDescent="0.25">
      <c r="A6" s="2">
        <v>2</v>
      </c>
      <c r="B6" s="43" t="s">
        <v>186</v>
      </c>
      <c r="C6" s="44" t="s">
        <v>182</v>
      </c>
      <c r="D6" s="45" t="s">
        <v>190</v>
      </c>
      <c r="E6" s="2">
        <v>61</v>
      </c>
      <c r="F6" s="43" t="s">
        <v>189</v>
      </c>
      <c r="G6" s="2">
        <v>182410</v>
      </c>
      <c r="H6" s="2"/>
    </row>
    <row r="7" spans="1:21" ht="15.75" customHeight="1" x14ac:dyDescent="0.25">
      <c r="A7" s="2">
        <v>3</v>
      </c>
      <c r="B7" s="43" t="s">
        <v>186</v>
      </c>
      <c r="C7" s="44" t="s">
        <v>182</v>
      </c>
      <c r="D7" s="45" t="s">
        <v>191</v>
      </c>
      <c r="E7" s="2">
        <v>45</v>
      </c>
      <c r="F7" s="43" t="s">
        <v>189</v>
      </c>
      <c r="G7" s="2">
        <v>142908</v>
      </c>
      <c r="H7" s="2"/>
    </row>
    <row r="8" spans="1:21" ht="15" customHeight="1" x14ac:dyDescent="0.25">
      <c r="D8" s="10"/>
      <c r="E8" s="39"/>
      <c r="F8" s="10"/>
      <c r="G8" s="10"/>
      <c r="H8" s="10"/>
      <c r="I8" s="1"/>
    </row>
    <row r="9" spans="1:21" x14ac:dyDescent="0.25">
      <c r="D9" s="10"/>
      <c r="E9" s="39"/>
      <c r="F9" s="10"/>
      <c r="G9" s="10"/>
      <c r="H9" s="10"/>
      <c r="I9" s="1"/>
    </row>
    <row r="11" spans="1:21" x14ac:dyDescent="0.25">
      <c r="K11" s="38" t="e">
        <f>#REF!</f>
        <v>#REF!</v>
      </c>
      <c r="L11"/>
      <c r="M11"/>
      <c r="N11"/>
      <c r="O11" s="38" t="e">
        <f>#REF!</f>
        <v>#REF!</v>
      </c>
      <c r="P11"/>
      <c r="Q11"/>
      <c r="R11"/>
      <c r="S11"/>
      <c r="T11"/>
      <c r="U11"/>
    </row>
    <row r="12" spans="1:21" x14ac:dyDescent="0.25">
      <c r="K12" t="e">
        <f>IF(K20&gt;0,L20,"")&amp;IF(K19&gt;0,L19,"")&amp;IF(K18&gt;0,L18,"")&amp;IF(K17&gt;0,L17,"")&amp;IF(K16&gt;0,L16,"")&amp;IF(K15&gt;0,L15,"")&amp;IF(K14&gt;0,L14," ")&amp;IF(K13&gt;0,L13," ")</f>
        <v>#REF!</v>
      </c>
      <c r="L12"/>
      <c r="M12"/>
      <c r="N12"/>
      <c r="O12" t="e">
        <f>IF(O20&gt;0,P20,"")&amp;IF(O19&gt;0,P19,"")&amp;IF(O18&gt;0,P18,"")&amp;IF(O17&gt;0,P17,"")&amp;IF(O16&gt;0,P16,"")&amp;IF(O15&gt;0,P15,"")&amp;IF(O14&gt;0,P14,"")&amp;IF(O13&gt;0,P13,"")</f>
        <v>#REF!</v>
      </c>
      <c r="P12"/>
      <c r="Q12"/>
      <c r="R12"/>
      <c r="S12"/>
      <c r="T12"/>
      <c r="U12"/>
    </row>
    <row r="13" spans="1:21" x14ac:dyDescent="0.25">
      <c r="C13" s="42" t="s">
        <v>184</v>
      </c>
      <c r="K13" t="e">
        <f>K11-INT(K11/100)*100</f>
        <v>#REF!</v>
      </c>
      <c r="L13" t="e">
        <f>IF(K11&gt;0,VLOOKUP(K13,M13:N111,2)," ")</f>
        <v>#REF!</v>
      </c>
      <c r="M13">
        <v>1</v>
      </c>
      <c r="N13" t="s">
        <v>77</v>
      </c>
      <c r="O13" t="e">
        <f>O11-INT(O11/100)*100</f>
        <v>#REF!</v>
      </c>
      <c r="P13" t="e">
        <f>IF(O11&gt;0,VLOOKUP(O13,Q13:R111,2)," ")</f>
        <v>#REF!</v>
      </c>
      <c r="Q13">
        <v>1</v>
      </c>
      <c r="R13" t="s">
        <v>77</v>
      </c>
      <c r="S13"/>
      <c r="T13"/>
      <c r="U13"/>
    </row>
    <row r="14" spans="1:21" x14ac:dyDescent="0.25">
      <c r="K14" t="e">
        <f>(K11-INT(K11/1000)*1000-K13)/100</f>
        <v>#REF!</v>
      </c>
      <c r="L14" t="e">
        <f>IF(K11&gt;0,VLOOKUP(K14,M13:N111,2)," ")&amp;" "&amp; "Hundred "</f>
        <v>#REF!</v>
      </c>
      <c r="M14">
        <v>2</v>
      </c>
      <c r="N14" t="s">
        <v>78</v>
      </c>
      <c r="O14" t="e">
        <f>(O11-INT(O11/1000)*1000-O13)/100</f>
        <v>#REF!</v>
      </c>
      <c r="P14" t="e">
        <f>IF(O11&gt;0,VLOOKUP(O14,Q13:R111,2)," ")&amp;" "&amp; "Hundred"</f>
        <v>#REF!</v>
      </c>
      <c r="Q14">
        <v>2</v>
      </c>
      <c r="R14" t="s">
        <v>78</v>
      </c>
      <c r="S14"/>
      <c r="T14"/>
      <c r="U14"/>
    </row>
    <row r="15" spans="1:21" x14ac:dyDescent="0.25">
      <c r="K15" t="e">
        <f>(K11-INT(K11/100000)*100000-K13-K14*100)/1000</f>
        <v>#REF!</v>
      </c>
      <c r="L15" t="e">
        <f>IF(K11&gt;0,VLOOKUP(K15,M13:N111,2)," ")&amp;" "&amp; "Thousand,"</f>
        <v>#REF!</v>
      </c>
      <c r="M15">
        <v>3</v>
      </c>
      <c r="N15" t="s">
        <v>79</v>
      </c>
      <c r="O15" t="e">
        <f>(O11-INT(O11/100000)*100000-O13-O14*100)/1000</f>
        <v>#REF!</v>
      </c>
      <c r="P15" t="e">
        <f>IF(O11&gt;0,VLOOKUP(O15,Q13:R111,2)," ")&amp;" "&amp; "Thousand,"</f>
        <v>#REF!</v>
      </c>
      <c r="Q15">
        <v>3</v>
      </c>
      <c r="R15" t="s">
        <v>79</v>
      </c>
      <c r="S15"/>
      <c r="T15"/>
      <c r="U15"/>
    </row>
    <row r="16" spans="1:21" x14ac:dyDescent="0.25">
      <c r="K16" t="e">
        <f>(K11-INT(K11/10000000)*10000000-K13-K14*100-K15*1000)/100000</f>
        <v>#REF!</v>
      </c>
      <c r="L16" t="e">
        <f>IF(K11&gt;0,VLOOKUP(K16,M13:N111,2)," ")&amp;" "&amp; "Lac,"</f>
        <v>#REF!</v>
      </c>
      <c r="M16">
        <v>4</v>
      </c>
      <c r="N16" t="s">
        <v>80</v>
      </c>
      <c r="O16" t="e">
        <f>(O11-INT(O11/10000000)*10000000-O13-O14*100-O15*1000)/100000</f>
        <v>#REF!</v>
      </c>
      <c r="P16" t="e">
        <f>IF(O11&gt;0,VLOOKUP(O16,Q13:R111,2)," ")&amp;" "&amp; "Lac,"</f>
        <v>#REF!</v>
      </c>
      <c r="Q16">
        <v>4</v>
      </c>
      <c r="R16" t="s">
        <v>80</v>
      </c>
      <c r="S16"/>
      <c r="T16"/>
      <c r="U16"/>
    </row>
    <row r="17" spans="11:21" x14ac:dyDescent="0.25">
      <c r="K17" t="e">
        <f>(K11-INT(K11/1000000000)*1000000000-K13-K14*100-K15*1000-K16*100000)/10000000</f>
        <v>#REF!</v>
      </c>
      <c r="L17" t="e">
        <f>IF(K11&gt;0,VLOOKUP(K17,M13:N111,2)," ")&amp;" "&amp; "Crore,"</f>
        <v>#REF!</v>
      </c>
      <c r="M17">
        <v>5</v>
      </c>
      <c r="N17" t="s">
        <v>81</v>
      </c>
      <c r="O17" t="e">
        <f>(O11-INT(O11/1000000000)*1000000000-O13-O14*100-O15*1000-O16*100000)/10000000</f>
        <v>#REF!</v>
      </c>
      <c r="P17" t="e">
        <f>IF(O11&gt;0,VLOOKUP(O17,Q13:R111,2)," ")&amp;" "&amp; "Crore,"</f>
        <v>#REF!</v>
      </c>
      <c r="Q17">
        <v>5</v>
      </c>
      <c r="R17" t="s">
        <v>81</v>
      </c>
      <c r="S17"/>
      <c r="T17"/>
      <c r="U17"/>
    </row>
    <row r="18" spans="11:21" x14ac:dyDescent="0.25">
      <c r="K18" t="e">
        <f>(K11-INT(K11/100000000000)*100000000000-K13-K14*100-K15*1000-K16*100000-K17*10000000)/1000000000</f>
        <v>#REF!</v>
      </c>
      <c r="L18" t="e">
        <f>IF(K11&gt;0,VLOOKUP(K18,M13:N111,2)," ")&amp;" "&amp; "Abaj,"</f>
        <v>#REF!</v>
      </c>
      <c r="M18">
        <v>6</v>
      </c>
      <c r="N18" t="s">
        <v>82</v>
      </c>
      <c r="O18" t="e">
        <f>(O11-INT(O11/100000000000)*100000000000-O13-O14*100-O15*1000-O16*100000-O17*10000000)/1000000000</f>
        <v>#REF!</v>
      </c>
      <c r="P18" t="e">
        <f>IF(O11&gt;0,VLOOKUP(O18,Q13:R111,2)," ")&amp;" "&amp; "Abaj,"</f>
        <v>#REF!</v>
      </c>
      <c r="Q18">
        <v>6</v>
      </c>
      <c r="R18" t="s">
        <v>82</v>
      </c>
      <c r="S18"/>
      <c r="T18"/>
      <c r="U18"/>
    </row>
    <row r="19" spans="11:21" x14ac:dyDescent="0.25">
      <c r="K19" t="e">
        <f>(K11-INT(K11/10000000000000)*10000000000000-K13-K14*100-K15*1000-K16*100000-K17*10000000-K18*1000000000)/100000000000</f>
        <v>#REF!</v>
      </c>
      <c r="L19" t="e">
        <f>IF(K11&gt;0,VLOOKUP(K19,M13:N111,2)," ")&amp;" "&amp; "Kharva,"</f>
        <v>#REF!</v>
      </c>
      <c r="M19">
        <v>7</v>
      </c>
      <c r="N19" t="s">
        <v>83</v>
      </c>
      <c r="O19" t="e">
        <f>(O11-INT(O11/10000000000000)*10000000000000-O13-O14*100-O15*1000-O16*100000-O17*10000000-O18*1000000000)/100000000000</f>
        <v>#REF!</v>
      </c>
      <c r="P19" t="e">
        <f>IF(O11&gt;0,VLOOKUP(O19,Q13:R111,2)," ")&amp;" "&amp; "Kharva,"</f>
        <v>#REF!</v>
      </c>
      <c r="Q19">
        <v>7</v>
      </c>
      <c r="R19" t="s">
        <v>83</v>
      </c>
      <c r="S19"/>
      <c r="T19"/>
      <c r="U19"/>
    </row>
    <row r="20" spans="11:21" x14ac:dyDescent="0.25">
      <c r="K20" t="e">
        <f>(K11-INT(K11/1000000000000000)*1000000000000000-K13-K14*100-K15*1000-K16*100000-K17*10000000-K18*1000000000-K19*100000000000)/10000000000000</f>
        <v>#REF!</v>
      </c>
      <c r="L20" t="e">
        <f>IF(K11&gt;0,VLOOKUP(K20,M13:N111,2)," ")&amp;" "&amp; "Nikharva,"</f>
        <v>#REF!</v>
      </c>
      <c r="M20">
        <v>8</v>
      </c>
      <c r="N20" t="s">
        <v>84</v>
      </c>
      <c r="O20" t="e">
        <f>(O11-INT(O11/1000000000000000)*1000000000000000-O13-O14*100-O15*1000-O16*100000-O17*10000000-O18*1000000000-O19*100000000000)/10000000000000</f>
        <v>#REF!</v>
      </c>
      <c r="P20" t="e">
        <f>IF(O11&gt;0,VLOOKUP(O20,Q13:R111,2)," ")&amp;" "&amp; "Nikharva,"</f>
        <v>#REF!</v>
      </c>
      <c r="Q20">
        <v>8</v>
      </c>
      <c r="R20" t="s">
        <v>84</v>
      </c>
      <c r="S20"/>
      <c r="T20"/>
      <c r="U20"/>
    </row>
    <row r="21" spans="11:21" x14ac:dyDescent="0.25">
      <c r="K21"/>
      <c r="L21"/>
      <c r="M21">
        <v>9</v>
      </c>
      <c r="N21" t="s">
        <v>85</v>
      </c>
      <c r="O21"/>
      <c r="P21"/>
      <c r="Q21">
        <v>9</v>
      </c>
      <c r="R21" t="s">
        <v>85</v>
      </c>
      <c r="S21"/>
      <c r="T21"/>
      <c r="U21"/>
    </row>
    <row r="22" spans="11:21" x14ac:dyDescent="0.25">
      <c r="K22"/>
      <c r="L22"/>
      <c r="M22">
        <v>10</v>
      </c>
      <c r="N22" t="s">
        <v>86</v>
      </c>
      <c r="O22"/>
      <c r="P22"/>
      <c r="Q22">
        <v>10</v>
      </c>
      <c r="R22" t="s">
        <v>86</v>
      </c>
      <c r="S22"/>
      <c r="T22"/>
      <c r="U22"/>
    </row>
    <row r="23" spans="11:21" x14ac:dyDescent="0.25">
      <c r="K23"/>
      <c r="L23" t="s">
        <v>87</v>
      </c>
      <c r="M23">
        <v>11</v>
      </c>
      <c r="N23" t="s">
        <v>88</v>
      </c>
      <c r="O23"/>
      <c r="P23" t="s">
        <v>87</v>
      </c>
      <c r="Q23">
        <v>11</v>
      </c>
      <c r="R23" t="s">
        <v>88</v>
      </c>
      <c r="S23"/>
      <c r="T23"/>
      <c r="U23"/>
    </row>
    <row r="24" spans="11:21" x14ac:dyDescent="0.25">
      <c r="K24"/>
      <c r="L24"/>
      <c r="M24">
        <v>12</v>
      </c>
      <c r="N24" t="s">
        <v>89</v>
      </c>
      <c r="O24"/>
      <c r="P24"/>
      <c r="Q24">
        <v>12</v>
      </c>
      <c r="R24" t="s">
        <v>89</v>
      </c>
      <c r="S24"/>
      <c r="T24"/>
      <c r="U24"/>
    </row>
    <row r="25" spans="11:21" x14ac:dyDescent="0.25">
      <c r="K25"/>
      <c r="L25" t="s">
        <v>90</v>
      </c>
      <c r="M25">
        <v>13</v>
      </c>
      <c r="N25" t="s">
        <v>91</v>
      </c>
      <c r="O25"/>
      <c r="P25" t="s">
        <v>90</v>
      </c>
      <c r="Q25">
        <v>13</v>
      </c>
      <c r="R25" t="s">
        <v>91</v>
      </c>
      <c r="S25"/>
      <c r="T25"/>
      <c r="U25"/>
    </row>
    <row r="26" spans="11:21" x14ac:dyDescent="0.25">
      <c r="K26"/>
      <c r="L26"/>
      <c r="M26">
        <v>14</v>
      </c>
      <c r="N26" t="s">
        <v>92</v>
      </c>
      <c r="O26"/>
      <c r="P26"/>
      <c r="Q26">
        <v>14</v>
      </c>
      <c r="R26" t="s">
        <v>92</v>
      </c>
      <c r="S26"/>
      <c r="T26"/>
      <c r="U26"/>
    </row>
    <row r="27" spans="11:21" x14ac:dyDescent="0.25">
      <c r="K27"/>
      <c r="L27"/>
      <c r="M27">
        <v>15</v>
      </c>
      <c r="N27" t="s">
        <v>93</v>
      </c>
      <c r="O27"/>
      <c r="P27"/>
      <c r="Q27">
        <v>15</v>
      </c>
      <c r="R27" t="s">
        <v>93</v>
      </c>
      <c r="S27"/>
      <c r="T27"/>
      <c r="U27"/>
    </row>
    <row r="28" spans="11:21" x14ac:dyDescent="0.25">
      <c r="K28"/>
      <c r="L28"/>
      <c r="M28">
        <v>16</v>
      </c>
      <c r="N28" t="s">
        <v>94</v>
      </c>
      <c r="O28"/>
      <c r="P28"/>
      <c r="Q28">
        <v>16</v>
      </c>
      <c r="R28" t="s">
        <v>94</v>
      </c>
      <c r="S28"/>
      <c r="T28"/>
      <c r="U28"/>
    </row>
    <row r="29" spans="11:21" x14ac:dyDescent="0.25">
      <c r="K29"/>
      <c r="L29"/>
      <c r="M29">
        <v>17</v>
      </c>
      <c r="N29" t="s">
        <v>95</v>
      </c>
      <c r="O29"/>
      <c r="P29"/>
      <c r="Q29">
        <v>17</v>
      </c>
      <c r="R29" t="s">
        <v>95</v>
      </c>
      <c r="S29"/>
      <c r="T29"/>
      <c r="U29"/>
    </row>
    <row r="30" spans="11:21" x14ac:dyDescent="0.25">
      <c r="K30"/>
      <c r="L30"/>
      <c r="M30">
        <v>18</v>
      </c>
      <c r="N30" t="s">
        <v>96</v>
      </c>
      <c r="O30"/>
      <c r="P30"/>
      <c r="Q30">
        <v>18</v>
      </c>
      <c r="R30" t="s">
        <v>96</v>
      </c>
      <c r="S30"/>
      <c r="T30"/>
      <c r="U30"/>
    </row>
    <row r="31" spans="11:21" x14ac:dyDescent="0.25">
      <c r="K31"/>
      <c r="L31"/>
      <c r="M31">
        <v>19</v>
      </c>
      <c r="N31" t="s">
        <v>97</v>
      </c>
      <c r="O31"/>
      <c r="P31"/>
      <c r="Q31">
        <v>19</v>
      </c>
      <c r="R31" t="s">
        <v>97</v>
      </c>
      <c r="S31"/>
      <c r="T31"/>
      <c r="U31"/>
    </row>
    <row r="32" spans="11:21" x14ac:dyDescent="0.25">
      <c r="K32"/>
      <c r="L32"/>
      <c r="M32">
        <v>20</v>
      </c>
      <c r="N32" t="s">
        <v>98</v>
      </c>
      <c r="O32"/>
      <c r="P32"/>
      <c r="Q32">
        <v>20</v>
      </c>
      <c r="R32" t="s">
        <v>98</v>
      </c>
      <c r="S32"/>
      <c r="T32"/>
      <c r="U32"/>
    </row>
    <row r="33" spans="11:21" x14ac:dyDescent="0.25">
      <c r="K33"/>
      <c r="L33"/>
      <c r="M33">
        <v>21</v>
      </c>
      <c r="N33" t="s">
        <v>99</v>
      </c>
      <c r="O33"/>
      <c r="P33"/>
      <c r="Q33">
        <v>21</v>
      </c>
      <c r="R33" t="s">
        <v>99</v>
      </c>
      <c r="S33"/>
      <c r="T33"/>
      <c r="U33"/>
    </row>
    <row r="34" spans="11:21" x14ac:dyDescent="0.25">
      <c r="K34"/>
      <c r="L34"/>
      <c r="M34">
        <v>22</v>
      </c>
      <c r="N34" t="s">
        <v>100</v>
      </c>
      <c r="O34"/>
      <c r="P34"/>
      <c r="Q34">
        <v>22</v>
      </c>
      <c r="R34" t="s">
        <v>100</v>
      </c>
      <c r="S34"/>
      <c r="T34"/>
      <c r="U34"/>
    </row>
    <row r="35" spans="11:21" x14ac:dyDescent="0.25">
      <c r="K35"/>
      <c r="L35"/>
      <c r="M35">
        <v>23</v>
      </c>
      <c r="N35" t="s">
        <v>101</v>
      </c>
      <c r="O35"/>
      <c r="P35"/>
      <c r="Q35">
        <v>23</v>
      </c>
      <c r="R35" t="s">
        <v>101</v>
      </c>
      <c r="S35"/>
      <c r="T35"/>
      <c r="U35"/>
    </row>
    <row r="36" spans="11:21" x14ac:dyDescent="0.25">
      <c r="K36"/>
      <c r="L36"/>
      <c r="M36">
        <v>24</v>
      </c>
      <c r="N36" t="s">
        <v>102</v>
      </c>
      <c r="O36"/>
      <c r="P36"/>
      <c r="Q36">
        <v>24</v>
      </c>
      <c r="R36" t="s">
        <v>102</v>
      </c>
      <c r="S36"/>
      <c r="T36"/>
      <c r="U36"/>
    </row>
    <row r="37" spans="11:21" x14ac:dyDescent="0.25">
      <c r="K37"/>
      <c r="L37"/>
      <c r="M37">
        <v>25</v>
      </c>
      <c r="N37" t="s">
        <v>103</v>
      </c>
      <c r="O37"/>
      <c r="P37"/>
      <c r="Q37">
        <v>25</v>
      </c>
      <c r="R37" t="s">
        <v>103</v>
      </c>
      <c r="S37"/>
      <c r="T37"/>
      <c r="U37"/>
    </row>
    <row r="38" spans="11:21" x14ac:dyDescent="0.25">
      <c r="K38"/>
      <c r="L38"/>
      <c r="M38">
        <v>26</v>
      </c>
      <c r="N38" t="s">
        <v>104</v>
      </c>
      <c r="O38"/>
      <c r="P38"/>
      <c r="Q38">
        <v>26</v>
      </c>
      <c r="R38" t="s">
        <v>104</v>
      </c>
      <c r="S38"/>
      <c r="T38"/>
      <c r="U38"/>
    </row>
    <row r="39" spans="11:21" x14ac:dyDescent="0.25">
      <c r="K39"/>
      <c r="L39"/>
      <c r="M39">
        <v>27</v>
      </c>
      <c r="N39" t="s">
        <v>105</v>
      </c>
      <c r="O39"/>
      <c r="P39"/>
      <c r="Q39">
        <v>27</v>
      </c>
      <c r="R39" t="s">
        <v>105</v>
      </c>
      <c r="S39"/>
      <c r="T39"/>
      <c r="U39"/>
    </row>
    <row r="40" spans="11:21" x14ac:dyDescent="0.25">
      <c r="K40"/>
      <c r="L40"/>
      <c r="M40">
        <v>28</v>
      </c>
      <c r="N40" t="s">
        <v>106</v>
      </c>
      <c r="O40"/>
      <c r="P40"/>
      <c r="Q40">
        <v>28</v>
      </c>
      <c r="R40" t="s">
        <v>106</v>
      </c>
      <c r="S40"/>
      <c r="T40"/>
      <c r="U40"/>
    </row>
    <row r="41" spans="11:21" x14ac:dyDescent="0.25">
      <c r="K41"/>
      <c r="L41"/>
      <c r="M41">
        <v>29</v>
      </c>
      <c r="N41" t="s">
        <v>107</v>
      </c>
      <c r="O41"/>
      <c r="P41"/>
      <c r="Q41">
        <v>29</v>
      </c>
      <c r="R41" t="s">
        <v>107</v>
      </c>
      <c r="S41"/>
      <c r="T41"/>
      <c r="U41"/>
    </row>
    <row r="42" spans="11:21" x14ac:dyDescent="0.25">
      <c r="K42"/>
      <c r="L42"/>
      <c r="M42">
        <v>30</v>
      </c>
      <c r="N42" t="s">
        <v>108</v>
      </c>
      <c r="O42"/>
      <c r="P42"/>
      <c r="Q42">
        <v>30</v>
      </c>
      <c r="R42" t="s">
        <v>108</v>
      </c>
      <c r="S42"/>
      <c r="T42"/>
      <c r="U42"/>
    </row>
    <row r="43" spans="11:21" x14ac:dyDescent="0.25">
      <c r="K43"/>
      <c r="L43"/>
      <c r="M43">
        <v>31</v>
      </c>
      <c r="N43" t="s">
        <v>109</v>
      </c>
      <c r="O43"/>
      <c r="P43"/>
      <c r="Q43">
        <v>31</v>
      </c>
      <c r="R43" t="s">
        <v>109</v>
      </c>
      <c r="S43"/>
      <c r="T43"/>
      <c r="U43"/>
    </row>
    <row r="44" spans="11:21" x14ac:dyDescent="0.25">
      <c r="K44"/>
      <c r="L44"/>
      <c r="M44">
        <v>32</v>
      </c>
      <c r="N44" t="s">
        <v>110</v>
      </c>
      <c r="O44"/>
      <c r="P44"/>
      <c r="Q44">
        <v>32</v>
      </c>
      <c r="R44" t="s">
        <v>110</v>
      </c>
      <c r="S44"/>
      <c r="T44"/>
      <c r="U44"/>
    </row>
    <row r="45" spans="11:21" x14ac:dyDescent="0.25">
      <c r="K45"/>
      <c r="L45"/>
      <c r="M45">
        <v>33</v>
      </c>
      <c r="N45" t="s">
        <v>111</v>
      </c>
      <c r="O45"/>
      <c r="P45"/>
      <c r="Q45">
        <v>33</v>
      </c>
      <c r="R45" t="s">
        <v>111</v>
      </c>
      <c r="S45"/>
      <c r="T45"/>
      <c r="U45"/>
    </row>
    <row r="46" spans="11:21" x14ac:dyDescent="0.25">
      <c r="K46"/>
      <c r="L46"/>
      <c r="M46">
        <v>34</v>
      </c>
      <c r="N46" t="s">
        <v>112</v>
      </c>
      <c r="O46"/>
      <c r="P46"/>
      <c r="Q46">
        <v>34</v>
      </c>
      <c r="R46" t="s">
        <v>112</v>
      </c>
      <c r="S46"/>
      <c r="T46"/>
      <c r="U46"/>
    </row>
    <row r="47" spans="11:21" x14ac:dyDescent="0.25">
      <c r="K47"/>
      <c r="L47"/>
      <c r="M47">
        <v>35</v>
      </c>
      <c r="N47" t="s">
        <v>113</v>
      </c>
      <c r="O47"/>
      <c r="P47"/>
      <c r="Q47">
        <v>35</v>
      </c>
      <c r="R47" t="s">
        <v>113</v>
      </c>
      <c r="S47"/>
      <c r="T47"/>
      <c r="U47"/>
    </row>
    <row r="48" spans="11:21" x14ac:dyDescent="0.25">
      <c r="K48"/>
      <c r="L48"/>
      <c r="M48">
        <v>36</v>
      </c>
      <c r="N48" t="s">
        <v>114</v>
      </c>
      <c r="O48"/>
      <c r="P48"/>
      <c r="Q48">
        <v>36</v>
      </c>
      <c r="R48" t="s">
        <v>114</v>
      </c>
      <c r="S48"/>
      <c r="T48"/>
      <c r="U48"/>
    </row>
    <row r="49" spans="11:21" x14ac:dyDescent="0.25">
      <c r="K49"/>
      <c r="L49"/>
      <c r="M49">
        <v>37</v>
      </c>
      <c r="N49" t="s">
        <v>115</v>
      </c>
      <c r="O49"/>
      <c r="P49"/>
      <c r="Q49">
        <v>37</v>
      </c>
      <c r="R49" t="s">
        <v>115</v>
      </c>
      <c r="S49"/>
      <c r="T49"/>
      <c r="U49"/>
    </row>
    <row r="50" spans="11:21" x14ac:dyDescent="0.25">
      <c r="K50"/>
      <c r="L50"/>
      <c r="M50">
        <v>38</v>
      </c>
      <c r="N50" t="s">
        <v>116</v>
      </c>
      <c r="O50"/>
      <c r="P50"/>
      <c r="Q50">
        <v>38</v>
      </c>
      <c r="R50" t="s">
        <v>116</v>
      </c>
      <c r="S50"/>
      <c r="T50"/>
      <c r="U50"/>
    </row>
    <row r="51" spans="11:21" x14ac:dyDescent="0.25">
      <c r="K51"/>
      <c r="L51"/>
      <c r="M51">
        <v>39</v>
      </c>
      <c r="N51" t="s">
        <v>117</v>
      </c>
      <c r="O51"/>
      <c r="P51"/>
      <c r="Q51">
        <v>39</v>
      </c>
      <c r="R51" t="s">
        <v>117</v>
      </c>
      <c r="S51"/>
      <c r="T51"/>
      <c r="U51"/>
    </row>
    <row r="52" spans="11:21" x14ac:dyDescent="0.25">
      <c r="K52"/>
      <c r="L52"/>
      <c r="M52">
        <v>40</v>
      </c>
      <c r="N52" t="s">
        <v>118</v>
      </c>
      <c r="O52"/>
      <c r="P52"/>
      <c r="Q52">
        <v>40</v>
      </c>
      <c r="R52" t="s">
        <v>118</v>
      </c>
      <c r="S52"/>
      <c r="T52"/>
      <c r="U52"/>
    </row>
    <row r="53" spans="11:21" x14ac:dyDescent="0.25">
      <c r="K53"/>
      <c r="L53"/>
      <c r="M53">
        <v>41</v>
      </c>
      <c r="N53" t="s">
        <v>119</v>
      </c>
      <c r="O53"/>
      <c r="P53"/>
      <c r="Q53">
        <v>41</v>
      </c>
      <c r="R53" t="s">
        <v>119</v>
      </c>
      <c r="S53"/>
      <c r="T53"/>
      <c r="U53"/>
    </row>
    <row r="54" spans="11:21" x14ac:dyDescent="0.25">
      <c r="K54"/>
      <c r="L54"/>
      <c r="M54">
        <v>42</v>
      </c>
      <c r="N54" t="s">
        <v>120</v>
      </c>
      <c r="O54"/>
      <c r="P54"/>
      <c r="Q54">
        <v>42</v>
      </c>
      <c r="R54" t="s">
        <v>120</v>
      </c>
      <c r="S54"/>
      <c r="T54"/>
      <c r="U54"/>
    </row>
    <row r="55" spans="11:21" x14ac:dyDescent="0.25">
      <c r="K55"/>
      <c r="L55"/>
      <c r="M55">
        <v>43</v>
      </c>
      <c r="N55" t="s">
        <v>121</v>
      </c>
      <c r="O55"/>
      <c r="P55"/>
      <c r="Q55">
        <v>43</v>
      </c>
      <c r="R55" t="s">
        <v>121</v>
      </c>
      <c r="S55"/>
      <c r="T55"/>
      <c r="U55"/>
    </row>
    <row r="56" spans="11:21" x14ac:dyDescent="0.25">
      <c r="K56"/>
      <c r="L56"/>
      <c r="M56">
        <v>44</v>
      </c>
      <c r="N56" t="s">
        <v>122</v>
      </c>
      <c r="O56"/>
      <c r="P56"/>
      <c r="Q56">
        <v>44</v>
      </c>
      <c r="R56" t="s">
        <v>122</v>
      </c>
      <c r="S56"/>
      <c r="T56"/>
      <c r="U56"/>
    </row>
    <row r="57" spans="11:21" x14ac:dyDescent="0.25">
      <c r="K57"/>
      <c r="L57"/>
      <c r="M57">
        <v>45</v>
      </c>
      <c r="N57" t="s">
        <v>123</v>
      </c>
      <c r="O57"/>
      <c r="P57"/>
      <c r="Q57">
        <v>45</v>
      </c>
      <c r="R57" t="s">
        <v>123</v>
      </c>
      <c r="S57"/>
      <c r="T57"/>
      <c r="U57"/>
    </row>
    <row r="58" spans="11:21" x14ac:dyDescent="0.25">
      <c r="K58"/>
      <c r="L58"/>
      <c r="M58">
        <v>46</v>
      </c>
      <c r="N58" t="s">
        <v>124</v>
      </c>
      <c r="O58"/>
      <c r="P58"/>
      <c r="Q58">
        <v>46</v>
      </c>
      <c r="R58" t="s">
        <v>124</v>
      </c>
      <c r="S58"/>
      <c r="T58"/>
      <c r="U58"/>
    </row>
    <row r="59" spans="11:21" x14ac:dyDescent="0.25">
      <c r="K59"/>
      <c r="L59"/>
      <c r="M59">
        <v>47</v>
      </c>
      <c r="N59" t="s">
        <v>125</v>
      </c>
      <c r="O59"/>
      <c r="P59"/>
      <c r="Q59">
        <v>47</v>
      </c>
      <c r="R59" t="s">
        <v>125</v>
      </c>
      <c r="S59"/>
      <c r="T59"/>
      <c r="U59"/>
    </row>
    <row r="60" spans="11:21" x14ac:dyDescent="0.25">
      <c r="K60"/>
      <c r="L60"/>
      <c r="M60">
        <v>48</v>
      </c>
      <c r="N60" t="s">
        <v>126</v>
      </c>
      <c r="O60"/>
      <c r="P60"/>
      <c r="Q60">
        <v>48</v>
      </c>
      <c r="R60" t="s">
        <v>126</v>
      </c>
      <c r="S60"/>
      <c r="T60"/>
      <c r="U60"/>
    </row>
    <row r="61" spans="11:21" x14ac:dyDescent="0.25">
      <c r="K61"/>
      <c r="L61"/>
      <c r="M61">
        <v>49</v>
      </c>
      <c r="N61" t="s">
        <v>127</v>
      </c>
      <c r="O61"/>
      <c r="P61"/>
      <c r="Q61">
        <v>49</v>
      </c>
      <c r="R61" t="s">
        <v>127</v>
      </c>
      <c r="S61"/>
      <c r="T61"/>
      <c r="U61"/>
    </row>
    <row r="62" spans="11:21" x14ac:dyDescent="0.25">
      <c r="K62"/>
      <c r="L62"/>
      <c r="M62">
        <v>50</v>
      </c>
      <c r="N62" t="s">
        <v>128</v>
      </c>
      <c r="O62"/>
      <c r="P62"/>
      <c r="Q62">
        <v>50</v>
      </c>
      <c r="R62" t="s">
        <v>128</v>
      </c>
      <c r="S62"/>
      <c r="T62"/>
      <c r="U62"/>
    </row>
    <row r="63" spans="11:21" x14ac:dyDescent="0.25">
      <c r="K63"/>
      <c r="L63"/>
      <c r="M63">
        <v>51</v>
      </c>
      <c r="N63" t="s">
        <v>129</v>
      </c>
      <c r="O63"/>
      <c r="P63"/>
      <c r="Q63">
        <v>51</v>
      </c>
      <c r="R63" t="s">
        <v>129</v>
      </c>
      <c r="S63"/>
      <c r="T63"/>
      <c r="U63"/>
    </row>
    <row r="64" spans="11:21" x14ac:dyDescent="0.25">
      <c r="K64"/>
      <c r="L64"/>
      <c r="M64">
        <v>52</v>
      </c>
      <c r="N64" t="s">
        <v>130</v>
      </c>
      <c r="O64"/>
      <c r="P64"/>
      <c r="Q64">
        <v>52</v>
      </c>
      <c r="R64" t="s">
        <v>130</v>
      </c>
      <c r="S64"/>
      <c r="T64"/>
      <c r="U64"/>
    </row>
    <row r="65" spans="11:21" x14ac:dyDescent="0.25">
      <c r="K65"/>
      <c r="L65"/>
      <c r="M65">
        <v>53</v>
      </c>
      <c r="N65" t="s">
        <v>131</v>
      </c>
      <c r="O65"/>
      <c r="P65"/>
      <c r="Q65">
        <v>53</v>
      </c>
      <c r="R65" t="s">
        <v>131</v>
      </c>
      <c r="S65"/>
      <c r="T65"/>
      <c r="U65"/>
    </row>
    <row r="66" spans="11:21" x14ac:dyDescent="0.25">
      <c r="K66"/>
      <c r="L66"/>
      <c r="M66">
        <v>54</v>
      </c>
      <c r="N66" t="s">
        <v>132</v>
      </c>
      <c r="O66"/>
      <c r="P66"/>
      <c r="Q66">
        <v>54</v>
      </c>
      <c r="R66" t="s">
        <v>132</v>
      </c>
      <c r="S66"/>
      <c r="T66"/>
      <c r="U66"/>
    </row>
    <row r="67" spans="11:21" x14ac:dyDescent="0.25">
      <c r="K67"/>
      <c r="L67"/>
      <c r="M67">
        <v>55</v>
      </c>
      <c r="N67" t="s">
        <v>133</v>
      </c>
      <c r="O67"/>
      <c r="P67"/>
      <c r="Q67">
        <v>55</v>
      </c>
      <c r="R67" t="s">
        <v>133</v>
      </c>
      <c r="S67"/>
      <c r="T67"/>
      <c r="U67"/>
    </row>
    <row r="68" spans="11:21" x14ac:dyDescent="0.25">
      <c r="K68"/>
      <c r="L68"/>
      <c r="M68">
        <v>56</v>
      </c>
      <c r="N68" t="s">
        <v>134</v>
      </c>
      <c r="O68"/>
      <c r="P68"/>
      <c r="Q68">
        <v>56</v>
      </c>
      <c r="R68" t="s">
        <v>134</v>
      </c>
      <c r="S68"/>
      <c r="T68"/>
      <c r="U68"/>
    </row>
    <row r="69" spans="11:21" x14ac:dyDescent="0.25">
      <c r="K69"/>
      <c r="L69"/>
      <c r="M69">
        <v>57</v>
      </c>
      <c r="N69" t="s">
        <v>135</v>
      </c>
      <c r="O69"/>
      <c r="P69"/>
      <c r="Q69">
        <v>57</v>
      </c>
      <c r="R69" t="s">
        <v>135</v>
      </c>
      <c r="S69"/>
      <c r="T69"/>
      <c r="U69"/>
    </row>
    <row r="70" spans="11:21" x14ac:dyDescent="0.25">
      <c r="K70"/>
      <c r="L70"/>
      <c r="M70">
        <v>58</v>
      </c>
      <c r="N70" t="s">
        <v>136</v>
      </c>
      <c r="O70"/>
      <c r="P70"/>
      <c r="Q70">
        <v>58</v>
      </c>
      <c r="R70" t="s">
        <v>136</v>
      </c>
      <c r="S70"/>
      <c r="T70"/>
      <c r="U70"/>
    </row>
    <row r="71" spans="11:21" x14ac:dyDescent="0.25">
      <c r="K71"/>
      <c r="L71"/>
      <c r="M71">
        <v>59</v>
      </c>
      <c r="N71" t="s">
        <v>137</v>
      </c>
      <c r="O71"/>
      <c r="P71"/>
      <c r="Q71">
        <v>59</v>
      </c>
      <c r="R71" t="s">
        <v>137</v>
      </c>
      <c r="S71"/>
      <c r="T71"/>
      <c r="U71"/>
    </row>
    <row r="72" spans="11:21" x14ac:dyDescent="0.25">
      <c r="K72"/>
      <c r="L72"/>
      <c r="M72">
        <v>60</v>
      </c>
      <c r="N72" t="s">
        <v>138</v>
      </c>
      <c r="O72"/>
      <c r="P72"/>
      <c r="Q72">
        <v>60</v>
      </c>
      <c r="R72" t="s">
        <v>138</v>
      </c>
      <c r="S72"/>
      <c r="T72"/>
      <c r="U72"/>
    </row>
    <row r="73" spans="11:21" x14ac:dyDescent="0.25">
      <c r="K73"/>
      <c r="L73"/>
      <c r="M73">
        <v>61</v>
      </c>
      <c r="N73" t="s">
        <v>139</v>
      </c>
      <c r="O73"/>
      <c r="P73"/>
      <c r="Q73">
        <v>61</v>
      </c>
      <c r="R73" t="s">
        <v>139</v>
      </c>
      <c r="S73"/>
      <c r="T73"/>
      <c r="U73"/>
    </row>
    <row r="74" spans="11:21" x14ac:dyDescent="0.25">
      <c r="K74"/>
      <c r="L74"/>
      <c r="M74">
        <v>62</v>
      </c>
      <c r="N74" t="s">
        <v>140</v>
      </c>
      <c r="O74"/>
      <c r="P74"/>
      <c r="Q74">
        <v>62</v>
      </c>
      <c r="R74" t="s">
        <v>140</v>
      </c>
      <c r="S74"/>
      <c r="T74"/>
      <c r="U74"/>
    </row>
    <row r="75" spans="11:21" x14ac:dyDescent="0.25">
      <c r="K75"/>
      <c r="L75"/>
      <c r="M75">
        <v>63</v>
      </c>
      <c r="N75" t="s">
        <v>141</v>
      </c>
      <c r="O75"/>
      <c r="P75"/>
      <c r="Q75">
        <v>63</v>
      </c>
      <c r="R75" t="s">
        <v>141</v>
      </c>
      <c r="S75"/>
      <c r="T75"/>
      <c r="U75"/>
    </row>
    <row r="76" spans="11:21" x14ac:dyDescent="0.25">
      <c r="K76"/>
      <c r="L76"/>
      <c r="M76">
        <v>64</v>
      </c>
      <c r="N76" t="s">
        <v>142</v>
      </c>
      <c r="O76"/>
      <c r="P76"/>
      <c r="Q76">
        <v>64</v>
      </c>
      <c r="R76" t="s">
        <v>142</v>
      </c>
      <c r="S76"/>
      <c r="T76"/>
      <c r="U76"/>
    </row>
    <row r="77" spans="11:21" x14ac:dyDescent="0.25">
      <c r="K77"/>
      <c r="L77"/>
      <c r="M77">
        <v>65</v>
      </c>
      <c r="N77" t="s">
        <v>143</v>
      </c>
      <c r="O77"/>
      <c r="P77"/>
      <c r="Q77">
        <v>65</v>
      </c>
      <c r="R77" t="s">
        <v>143</v>
      </c>
      <c r="S77"/>
      <c r="T77"/>
      <c r="U77"/>
    </row>
    <row r="78" spans="11:21" x14ac:dyDescent="0.25">
      <c r="K78"/>
      <c r="L78"/>
      <c r="M78">
        <v>66</v>
      </c>
      <c r="N78" t="s">
        <v>144</v>
      </c>
      <c r="O78"/>
      <c r="P78"/>
      <c r="Q78">
        <v>66</v>
      </c>
      <c r="R78" t="s">
        <v>144</v>
      </c>
      <c r="S78"/>
      <c r="T78"/>
      <c r="U78"/>
    </row>
    <row r="79" spans="11:21" x14ac:dyDescent="0.25">
      <c r="K79"/>
      <c r="L79"/>
      <c r="M79">
        <v>67</v>
      </c>
      <c r="N79" t="s">
        <v>145</v>
      </c>
      <c r="O79"/>
      <c r="P79"/>
      <c r="Q79">
        <v>67</v>
      </c>
      <c r="R79" t="s">
        <v>145</v>
      </c>
      <c r="S79"/>
      <c r="T79"/>
      <c r="U79"/>
    </row>
    <row r="80" spans="11:21" x14ac:dyDescent="0.25">
      <c r="K80"/>
      <c r="L80"/>
      <c r="M80">
        <v>68</v>
      </c>
      <c r="N80" t="s">
        <v>146</v>
      </c>
      <c r="O80"/>
      <c r="P80"/>
      <c r="Q80">
        <v>68</v>
      </c>
      <c r="R80" t="s">
        <v>146</v>
      </c>
      <c r="S80"/>
      <c r="T80"/>
      <c r="U80"/>
    </row>
    <row r="81" spans="11:21" x14ac:dyDescent="0.25">
      <c r="K81"/>
      <c r="L81"/>
      <c r="M81">
        <v>69</v>
      </c>
      <c r="N81" t="s">
        <v>147</v>
      </c>
      <c r="O81"/>
      <c r="P81"/>
      <c r="Q81">
        <v>69</v>
      </c>
      <c r="R81" t="s">
        <v>147</v>
      </c>
      <c r="S81"/>
      <c r="T81"/>
      <c r="U81"/>
    </row>
    <row r="82" spans="11:21" x14ac:dyDescent="0.25">
      <c r="K82"/>
      <c r="L82"/>
      <c r="M82">
        <v>70</v>
      </c>
      <c r="N82" t="s">
        <v>148</v>
      </c>
      <c r="O82"/>
      <c r="P82"/>
      <c r="Q82">
        <v>70</v>
      </c>
      <c r="R82" t="s">
        <v>148</v>
      </c>
      <c r="S82"/>
      <c r="T82"/>
      <c r="U82"/>
    </row>
    <row r="83" spans="11:21" x14ac:dyDescent="0.25">
      <c r="K83"/>
      <c r="L83"/>
      <c r="M83">
        <v>71</v>
      </c>
      <c r="N83" t="s">
        <v>149</v>
      </c>
      <c r="O83"/>
      <c r="P83"/>
      <c r="Q83">
        <v>71</v>
      </c>
      <c r="R83" t="s">
        <v>149</v>
      </c>
      <c r="S83"/>
      <c r="T83"/>
      <c r="U83"/>
    </row>
    <row r="84" spans="11:21" x14ac:dyDescent="0.25">
      <c r="K84"/>
      <c r="L84"/>
      <c r="M84">
        <v>72</v>
      </c>
      <c r="N84" t="s">
        <v>150</v>
      </c>
      <c r="O84"/>
      <c r="P84"/>
      <c r="Q84">
        <v>72</v>
      </c>
      <c r="R84" t="s">
        <v>150</v>
      </c>
      <c r="S84"/>
      <c r="T84"/>
      <c r="U84"/>
    </row>
    <row r="85" spans="11:21" x14ac:dyDescent="0.25">
      <c r="K85"/>
      <c r="L85"/>
      <c r="M85">
        <v>73</v>
      </c>
      <c r="N85" t="s">
        <v>151</v>
      </c>
      <c r="O85"/>
      <c r="P85"/>
      <c r="Q85">
        <v>73</v>
      </c>
      <c r="R85" t="s">
        <v>151</v>
      </c>
      <c r="S85"/>
      <c r="T85"/>
      <c r="U85"/>
    </row>
    <row r="86" spans="11:21" x14ac:dyDescent="0.25">
      <c r="K86"/>
      <c r="L86"/>
      <c r="M86">
        <v>74</v>
      </c>
      <c r="N86" t="s">
        <v>152</v>
      </c>
      <c r="O86"/>
      <c r="P86"/>
      <c r="Q86">
        <v>74</v>
      </c>
      <c r="R86" t="s">
        <v>152</v>
      </c>
      <c r="S86"/>
      <c r="T86"/>
      <c r="U86"/>
    </row>
    <row r="87" spans="11:21" x14ac:dyDescent="0.25">
      <c r="K87"/>
      <c r="L87"/>
      <c r="M87">
        <v>75</v>
      </c>
      <c r="N87" t="s">
        <v>153</v>
      </c>
      <c r="O87"/>
      <c r="P87"/>
      <c r="Q87">
        <v>75</v>
      </c>
      <c r="R87" t="s">
        <v>153</v>
      </c>
      <c r="S87"/>
      <c r="T87"/>
      <c r="U87"/>
    </row>
    <row r="88" spans="11:21" x14ac:dyDescent="0.25">
      <c r="K88"/>
      <c r="L88"/>
      <c r="M88">
        <v>76</v>
      </c>
      <c r="N88" t="s">
        <v>154</v>
      </c>
      <c r="O88"/>
      <c r="P88"/>
      <c r="Q88">
        <v>76</v>
      </c>
      <c r="R88" t="s">
        <v>154</v>
      </c>
      <c r="S88"/>
      <c r="T88"/>
      <c r="U88"/>
    </row>
    <row r="89" spans="11:21" x14ac:dyDescent="0.25">
      <c r="K89"/>
      <c r="L89"/>
      <c r="M89">
        <v>77</v>
      </c>
      <c r="N89" t="s">
        <v>155</v>
      </c>
      <c r="O89"/>
      <c r="P89"/>
      <c r="Q89">
        <v>77</v>
      </c>
      <c r="R89" t="s">
        <v>155</v>
      </c>
      <c r="S89"/>
      <c r="T89"/>
      <c r="U89"/>
    </row>
    <row r="90" spans="11:21" x14ac:dyDescent="0.25">
      <c r="K90"/>
      <c r="L90"/>
      <c r="M90">
        <v>78</v>
      </c>
      <c r="N90" t="s">
        <v>156</v>
      </c>
      <c r="O90"/>
      <c r="P90"/>
      <c r="Q90">
        <v>78</v>
      </c>
      <c r="R90" t="s">
        <v>156</v>
      </c>
      <c r="S90"/>
      <c r="T90"/>
      <c r="U90"/>
    </row>
    <row r="91" spans="11:21" x14ac:dyDescent="0.25">
      <c r="K91"/>
      <c r="L91"/>
      <c r="M91">
        <v>79</v>
      </c>
      <c r="N91" t="s">
        <v>157</v>
      </c>
      <c r="O91"/>
      <c r="P91"/>
      <c r="Q91">
        <v>79</v>
      </c>
      <c r="R91" t="s">
        <v>157</v>
      </c>
      <c r="S91"/>
      <c r="T91"/>
      <c r="U91"/>
    </row>
    <row r="92" spans="11:21" x14ac:dyDescent="0.25">
      <c r="K92"/>
      <c r="L92"/>
      <c r="M92">
        <v>80</v>
      </c>
      <c r="N92" t="s">
        <v>158</v>
      </c>
      <c r="O92"/>
      <c r="P92"/>
      <c r="Q92">
        <v>80</v>
      </c>
      <c r="R92" t="s">
        <v>158</v>
      </c>
      <c r="S92"/>
      <c r="T92"/>
      <c r="U92"/>
    </row>
    <row r="93" spans="11:21" x14ac:dyDescent="0.25">
      <c r="K93"/>
      <c r="L93"/>
      <c r="M93">
        <v>81</v>
      </c>
      <c r="N93" t="s">
        <v>159</v>
      </c>
      <c r="O93"/>
      <c r="P93"/>
      <c r="Q93">
        <v>81</v>
      </c>
      <c r="R93" t="s">
        <v>159</v>
      </c>
      <c r="S93"/>
      <c r="T93"/>
      <c r="U93"/>
    </row>
    <row r="94" spans="11:21" x14ac:dyDescent="0.25">
      <c r="K94"/>
      <c r="L94"/>
      <c r="M94">
        <v>82</v>
      </c>
      <c r="N94" t="s">
        <v>160</v>
      </c>
      <c r="O94"/>
      <c r="P94"/>
      <c r="Q94">
        <v>82</v>
      </c>
      <c r="R94" t="s">
        <v>160</v>
      </c>
      <c r="S94"/>
      <c r="T94"/>
      <c r="U94"/>
    </row>
    <row r="95" spans="11:21" x14ac:dyDescent="0.25">
      <c r="K95"/>
      <c r="L95"/>
      <c r="M95">
        <v>83</v>
      </c>
      <c r="N95" t="s">
        <v>161</v>
      </c>
      <c r="O95"/>
      <c r="P95"/>
      <c r="Q95">
        <v>83</v>
      </c>
      <c r="R95" t="s">
        <v>161</v>
      </c>
      <c r="S95"/>
      <c r="T95"/>
      <c r="U95"/>
    </row>
    <row r="96" spans="11:21" x14ac:dyDescent="0.25">
      <c r="K96"/>
      <c r="L96"/>
      <c r="M96">
        <v>84</v>
      </c>
      <c r="N96" t="s">
        <v>162</v>
      </c>
      <c r="O96"/>
      <c r="P96"/>
      <c r="Q96">
        <v>84</v>
      </c>
      <c r="R96" t="s">
        <v>162</v>
      </c>
      <c r="S96"/>
      <c r="T96"/>
      <c r="U96"/>
    </row>
    <row r="97" spans="11:21" x14ac:dyDescent="0.25">
      <c r="K97"/>
      <c r="L97"/>
      <c r="M97">
        <v>85</v>
      </c>
      <c r="N97" t="s">
        <v>163</v>
      </c>
      <c r="O97"/>
      <c r="P97"/>
      <c r="Q97">
        <v>85</v>
      </c>
      <c r="R97" t="s">
        <v>163</v>
      </c>
      <c r="S97"/>
      <c r="T97"/>
      <c r="U97"/>
    </row>
    <row r="98" spans="11:21" x14ac:dyDescent="0.25">
      <c r="K98"/>
      <c r="L98"/>
      <c r="M98">
        <v>86</v>
      </c>
      <c r="N98" t="s">
        <v>164</v>
      </c>
      <c r="O98"/>
      <c r="P98"/>
      <c r="Q98">
        <v>86</v>
      </c>
      <c r="R98" t="s">
        <v>164</v>
      </c>
      <c r="S98"/>
      <c r="T98"/>
      <c r="U98"/>
    </row>
    <row r="99" spans="11:21" x14ac:dyDescent="0.25">
      <c r="K99"/>
      <c r="L99"/>
      <c r="M99">
        <v>87</v>
      </c>
      <c r="N99" t="s">
        <v>165</v>
      </c>
      <c r="O99"/>
      <c r="P99"/>
      <c r="Q99">
        <v>87</v>
      </c>
      <c r="R99" t="s">
        <v>165</v>
      </c>
      <c r="S99"/>
      <c r="T99"/>
      <c r="U99"/>
    </row>
    <row r="100" spans="11:21" x14ac:dyDescent="0.25">
      <c r="K100"/>
      <c r="L100"/>
      <c r="M100">
        <v>88</v>
      </c>
      <c r="N100" t="s">
        <v>166</v>
      </c>
      <c r="O100"/>
      <c r="P100"/>
      <c r="Q100">
        <v>88</v>
      </c>
      <c r="R100" t="s">
        <v>166</v>
      </c>
      <c r="S100"/>
      <c r="T100"/>
      <c r="U100"/>
    </row>
    <row r="101" spans="11:21" x14ac:dyDescent="0.25">
      <c r="K101"/>
      <c r="L101"/>
      <c r="M101">
        <v>89</v>
      </c>
      <c r="N101" t="s">
        <v>167</v>
      </c>
      <c r="O101"/>
      <c r="P101"/>
      <c r="Q101">
        <v>89</v>
      </c>
      <c r="R101" t="s">
        <v>167</v>
      </c>
      <c r="S101"/>
      <c r="T101"/>
      <c r="U101"/>
    </row>
    <row r="102" spans="11:21" x14ac:dyDescent="0.25">
      <c r="K102"/>
      <c r="L102"/>
      <c r="M102">
        <v>90</v>
      </c>
      <c r="N102" t="s">
        <v>168</v>
      </c>
      <c r="O102"/>
      <c r="P102"/>
      <c r="Q102">
        <v>90</v>
      </c>
      <c r="R102" t="s">
        <v>168</v>
      </c>
      <c r="S102"/>
      <c r="T102"/>
      <c r="U102"/>
    </row>
    <row r="103" spans="11:21" x14ac:dyDescent="0.25">
      <c r="K103"/>
      <c r="L103"/>
      <c r="M103">
        <v>91</v>
      </c>
      <c r="N103" t="s">
        <v>169</v>
      </c>
      <c r="O103"/>
      <c r="P103"/>
      <c r="Q103">
        <v>91</v>
      </c>
      <c r="R103" t="s">
        <v>169</v>
      </c>
      <c r="S103"/>
      <c r="T103"/>
      <c r="U103"/>
    </row>
    <row r="104" spans="11:21" x14ac:dyDescent="0.25">
      <c r="K104"/>
      <c r="L104"/>
      <c r="M104">
        <v>92</v>
      </c>
      <c r="N104" t="s">
        <v>170</v>
      </c>
      <c r="O104"/>
      <c r="P104"/>
      <c r="Q104">
        <v>92</v>
      </c>
      <c r="R104" t="s">
        <v>170</v>
      </c>
      <c r="S104"/>
      <c r="T104"/>
      <c r="U104"/>
    </row>
    <row r="105" spans="11:21" x14ac:dyDescent="0.25">
      <c r="K105"/>
      <c r="L105"/>
      <c r="M105">
        <v>93</v>
      </c>
      <c r="N105" t="s">
        <v>171</v>
      </c>
      <c r="O105"/>
      <c r="P105"/>
      <c r="Q105">
        <v>93</v>
      </c>
      <c r="R105" t="s">
        <v>171</v>
      </c>
      <c r="S105"/>
      <c r="T105"/>
      <c r="U105"/>
    </row>
    <row r="106" spans="11:21" x14ac:dyDescent="0.25">
      <c r="K106"/>
      <c r="L106"/>
      <c r="M106">
        <v>94</v>
      </c>
      <c r="N106" t="s">
        <v>172</v>
      </c>
      <c r="O106"/>
      <c r="P106"/>
      <c r="Q106">
        <v>94</v>
      </c>
      <c r="R106" t="s">
        <v>172</v>
      </c>
      <c r="S106"/>
      <c r="T106"/>
      <c r="U106"/>
    </row>
    <row r="107" spans="11:21" x14ac:dyDescent="0.25">
      <c r="K107"/>
      <c r="L107"/>
      <c r="M107">
        <v>95</v>
      </c>
      <c r="N107" t="s">
        <v>173</v>
      </c>
      <c r="O107"/>
      <c r="P107"/>
      <c r="Q107">
        <v>95</v>
      </c>
      <c r="R107" t="s">
        <v>173</v>
      </c>
      <c r="S107"/>
      <c r="T107"/>
      <c r="U107"/>
    </row>
    <row r="108" spans="11:21" x14ac:dyDescent="0.25">
      <c r="K108"/>
      <c r="L108"/>
      <c r="M108">
        <v>96</v>
      </c>
      <c r="N108" t="s">
        <v>174</v>
      </c>
      <c r="O108"/>
      <c r="P108"/>
      <c r="Q108">
        <v>96</v>
      </c>
      <c r="R108" t="s">
        <v>174</v>
      </c>
      <c r="S108"/>
      <c r="T108"/>
      <c r="U108"/>
    </row>
    <row r="109" spans="11:21" x14ac:dyDescent="0.25">
      <c r="K109"/>
      <c r="L109"/>
      <c r="M109">
        <v>97</v>
      </c>
      <c r="N109" t="s">
        <v>175</v>
      </c>
      <c r="O109"/>
      <c r="P109"/>
      <c r="Q109">
        <v>97</v>
      </c>
      <c r="R109" t="s">
        <v>175</v>
      </c>
      <c r="S109"/>
      <c r="T109"/>
      <c r="U109"/>
    </row>
    <row r="110" spans="11:21" x14ac:dyDescent="0.25">
      <c r="K110"/>
      <c r="L110"/>
      <c r="M110">
        <v>98</v>
      </c>
      <c r="N110" t="s">
        <v>176</v>
      </c>
      <c r="O110"/>
      <c r="P110"/>
      <c r="Q110">
        <v>98</v>
      </c>
      <c r="R110" t="s">
        <v>176</v>
      </c>
      <c r="S110"/>
      <c r="T110"/>
      <c r="U110"/>
    </row>
    <row r="111" spans="11:21" x14ac:dyDescent="0.25">
      <c r="K111"/>
      <c r="L111"/>
      <c r="M111">
        <v>99</v>
      </c>
      <c r="N111" t="s">
        <v>177</v>
      </c>
      <c r="O111"/>
      <c r="P111"/>
      <c r="Q111">
        <v>99</v>
      </c>
      <c r="R111" t="s">
        <v>177</v>
      </c>
      <c r="S111"/>
      <c r="T111"/>
      <c r="U111"/>
    </row>
  </sheetData>
  <mergeCells count="1">
    <mergeCell ref="A1:H2"/>
  </mergeCells>
  <pageMargins left="0.7" right="0.32" top="0.41" bottom="0.75" header="0.3" footer="0.3"/>
  <pageSetup paperSize="9" scale="8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showRowColHeaders="0" showZeros="0" showOutlineSymbols="0" topLeftCell="B30984" zoomScaleNormal="4" zoomScaleSheetLayoutView="68"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GTR</vt:lpstr>
      <vt:lpstr>INNER</vt:lpstr>
      <vt:lpstr>GTR!Print_Area</vt:lpstr>
      <vt:lpstr>INNER!Print_Area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 OF EMPLOYMENT &amp; TRAI</dc:creator>
  <cp:lastModifiedBy>DR. PARMAR</cp:lastModifiedBy>
  <cp:lastPrinted>2026-03-02T10:52:28Z</cp:lastPrinted>
  <dcterms:created xsi:type="dcterms:W3CDTF">2002-01-31T12:57:55Z</dcterms:created>
  <dcterms:modified xsi:type="dcterms:W3CDTF">2026-10-23T17:47:32Z</dcterms:modified>
</cp:coreProperties>
</file>